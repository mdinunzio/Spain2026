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cations" sheetId="1" r:id="rId5"/>
  </sheets>
  <definedNames/>
  <calcPr/>
</workbook>
</file>

<file path=xl/sharedStrings.xml><?xml version="1.0" encoding="utf-8"?>
<sst xmlns="http://schemas.openxmlformats.org/spreadsheetml/2006/main" count="38" uniqueCount="38">
  <si>
    <t>Name</t>
  </si>
  <si>
    <t>Location</t>
  </si>
  <si>
    <t>Icon</t>
  </si>
  <si>
    <t>Description</t>
  </si>
  <si>
    <t>Google Maps</t>
  </si>
  <si>
    <t>LatLong</t>
  </si>
  <si>
    <t>Latitude</t>
  </si>
  <si>
    <t>Longitude</t>
  </si>
  <si>
    <t>Statue of Liberty</t>
  </si>
  <si>
    <t>🗽</t>
  </si>
  <si>
    <t>Iconic symbol of freedom and immigration history accessible by ferry from Lower Manhattan</t>
  </si>
  <si>
    <t>Central Park</t>
  </si>
  <si>
    <t>🌳</t>
  </si>
  <si>
    <t>Massive urban park offering scenic walks, lakes, cultural landmarks, and outdoor recreation</t>
  </si>
  <si>
    <t>Times Square</t>
  </si>
  <si>
    <t>🛍️</t>
  </si>
  <si>
    <t>World-famous commercial and entertainment hub known for bright billboards and Broadway theaters</t>
  </si>
  <si>
    <t>Empire State Building</t>
  </si>
  <si>
    <t>🏙️</t>
  </si>
  <si>
    <t>Historic Art Deco skyscraper with observation decks offering panoramic city views</t>
  </si>
  <si>
    <t>The Metropolitan Museum of Art</t>
  </si>
  <si>
    <t>🖼️</t>
  </si>
  <si>
    <t>One of the world’s largest art museums with collections spanning thousands of years</t>
  </si>
  <si>
    <t>Broadway &amp; Theater District</t>
  </si>
  <si>
    <t>🎭</t>
  </si>
  <si>
    <t>Global center of live theater featuring Broadway musicals and plays</t>
  </si>
  <si>
    <t>The High Line</t>
  </si>
  <si>
    <t>🌿</t>
  </si>
  <si>
    <t>Elevated linear park built on a former railway with gardens, art, and skyline views</t>
  </si>
  <si>
    <t>Brooklyn Bridge</t>
  </si>
  <si>
    <t>🌉</t>
  </si>
  <si>
    <t>Historic suspension bridge connecting Manhattan and Brooklyn with iconic skyline views</t>
  </si>
  <si>
    <t>9/11 Memorial &amp; Museum</t>
  </si>
  <si>
    <t>🕊️</t>
  </si>
  <si>
    <t>Moving memorial and museum honoring the victims and history of September 11, 2001</t>
  </si>
  <si>
    <t>Museum of Modern Art (MoMA)</t>
  </si>
  <si>
    <t>🎨</t>
  </si>
  <si>
    <t>Renowned museum showcasing influential modern and contemporary art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</si>
</sst>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75"/>
    <col customWidth="1" min="2" max="2" width="40.38"/>
    <col customWidth="1" min="3" max="3" width="7.25"/>
    <col customWidth="1" min="4" max="4" width="75.0"/>
    <col customWidth="1" min="6" max="6" width="26.63"/>
    <col customWidth="1" min="7" max="8" width="1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>
      <c r="A2" s="3" t="s">
        <v>8</v>
      </c>
      <c r="B2" s="3" t="str">
        <f t="shared" ref="B2:B11" si="1">A2&amp;", New York City, USA"</f>
        <v>Statue of Liberty, New York City, USA</v>
      </c>
      <c r="C2" s="3" t="s">
        <v>9</v>
      </c>
      <c r="D2" s="3" t="s">
        <v>10</v>
      </c>
      <c r="E2" s="4" t="str">
        <f t="shared" ref="E2:E11" si="2">"https://www.google.com/maps/search/"&amp;ENCODEURL(B2)</f>
        <v>https://www.google.com/maps/search/Statue%20of%20Liberty%2C%20New%20York%20City%2C%20USA</v>
      </c>
      <c r="F2" s="3" t="str">
        <f t="shared" ref="F2:F11" si="3">GOOGLEMAPS_ADDRESS_TO_LATLONG(B2)</f>
        <v>40.6892494, -74.04450039999999</v>
      </c>
      <c r="G2" s="3">
        <f>IFERROR(__xludf.DUMMYFUNCTION("SPLIT(F2,"", "")"),40.6892494)</f>
        <v>40.6892494</v>
      </c>
      <c r="H2" s="3">
        <f>IFERROR(__xludf.DUMMYFUNCTION("""COMPUTED_VALUE"""),-74.0445003999999)</f>
        <v>-74.0445004</v>
      </c>
    </row>
    <row r="3">
      <c r="A3" s="3" t="s">
        <v>11</v>
      </c>
      <c r="B3" s="3" t="str">
        <f t="shared" si="1"/>
        <v>Central Park, New York City, USA</v>
      </c>
      <c r="C3" s="3" t="s">
        <v>12</v>
      </c>
      <c r="D3" s="3" t="s">
        <v>13</v>
      </c>
      <c r="E3" s="4" t="str">
        <f t="shared" si="2"/>
        <v>https://www.google.com/maps/search/Central%20Park%2C%20New%20York%20City%2C%20USA</v>
      </c>
      <c r="F3" s="3" t="str">
        <f t="shared" si="3"/>
        <v>40.7825547, -73.9655834</v>
      </c>
      <c r="G3" s="3">
        <f>IFERROR(__xludf.DUMMYFUNCTION("SPLIT(F3,"", "")"),40.7825547)</f>
        <v>40.7825547</v>
      </c>
      <c r="H3" s="3">
        <f>IFERROR(__xludf.DUMMYFUNCTION("""COMPUTED_VALUE"""),-73.9655834)</f>
        <v>-73.9655834</v>
      </c>
    </row>
    <row r="4">
      <c r="A4" s="3" t="s">
        <v>14</v>
      </c>
      <c r="B4" s="3" t="str">
        <f t="shared" si="1"/>
        <v>Times Square, New York City, USA</v>
      </c>
      <c r="C4" s="3" t="s">
        <v>15</v>
      </c>
      <c r="D4" s="3" t="s">
        <v>16</v>
      </c>
      <c r="E4" s="4" t="str">
        <f t="shared" si="2"/>
        <v>https://www.google.com/maps/search/Times%20Square%2C%20New%20York%20City%2C%20USA</v>
      </c>
      <c r="F4" s="3" t="str">
        <f t="shared" si="3"/>
        <v>40.7579747, -73.9855426</v>
      </c>
      <c r="G4" s="3">
        <f>IFERROR(__xludf.DUMMYFUNCTION("SPLIT(F4,"", "")"),40.7579747)</f>
        <v>40.7579747</v>
      </c>
      <c r="H4" s="3">
        <f>IFERROR(__xludf.DUMMYFUNCTION("""COMPUTED_VALUE"""),-73.9855426)</f>
        <v>-73.9855426</v>
      </c>
    </row>
    <row r="5">
      <c r="A5" s="3" t="s">
        <v>17</v>
      </c>
      <c r="B5" s="3" t="str">
        <f t="shared" si="1"/>
        <v>Empire State Building, New York City, USA</v>
      </c>
      <c r="C5" s="3" t="s">
        <v>18</v>
      </c>
      <c r="D5" s="3" t="s">
        <v>19</v>
      </c>
      <c r="E5" s="4" t="str">
        <f t="shared" si="2"/>
        <v>https://www.google.com/maps/search/Empire%20State%20Building%2C%20New%20York%20City%2C%20USA</v>
      </c>
      <c r="F5" s="3" t="str">
        <f t="shared" si="3"/>
        <v>40.7484405, -73.98566439999999</v>
      </c>
      <c r="G5" s="3">
        <f>IFERROR(__xludf.DUMMYFUNCTION("SPLIT(F5,"", "")"),40.7484405)</f>
        <v>40.7484405</v>
      </c>
      <c r="H5" s="3">
        <f>IFERROR(__xludf.DUMMYFUNCTION("""COMPUTED_VALUE"""),-73.9856643999999)</f>
        <v>-73.9856644</v>
      </c>
    </row>
    <row r="6">
      <c r="A6" s="3" t="s">
        <v>20</v>
      </c>
      <c r="B6" s="3" t="str">
        <f t="shared" si="1"/>
        <v>The Metropolitan Museum of Art, New York City, USA</v>
      </c>
      <c r="C6" s="3" t="s">
        <v>21</v>
      </c>
      <c r="D6" s="3" t="s">
        <v>22</v>
      </c>
      <c r="E6" s="4" t="str">
        <f t="shared" si="2"/>
        <v>https://www.google.com/maps/search/The%20Metropolitan%20Museum%20of%20Art%2C%20New%20York%20City%2C%20USA</v>
      </c>
      <c r="F6" s="3" t="str">
        <f t="shared" si="3"/>
        <v>40.7794366, -73.963244</v>
      </c>
      <c r="G6" s="3">
        <f>IFERROR(__xludf.DUMMYFUNCTION("SPLIT(F6,"", "")"),40.7794366)</f>
        <v>40.7794366</v>
      </c>
      <c r="H6" s="3">
        <f>IFERROR(__xludf.DUMMYFUNCTION("""COMPUTED_VALUE"""),-73.963244)</f>
        <v>-73.963244</v>
      </c>
    </row>
    <row r="7">
      <c r="A7" s="3" t="s">
        <v>23</v>
      </c>
      <c r="B7" s="3" t="str">
        <f t="shared" si="1"/>
        <v>Broadway &amp; Theater District, New York City, USA</v>
      </c>
      <c r="C7" s="3" t="s">
        <v>24</v>
      </c>
      <c r="D7" s="3" t="s">
        <v>25</v>
      </c>
      <c r="E7" s="4" t="str">
        <f t="shared" si="2"/>
        <v>https://www.google.com/maps/search/Broadway%20%26%20Theater%20District%2C%20New%20York%20City%2C%20USA</v>
      </c>
      <c r="F7" s="3" t="str">
        <f t="shared" si="3"/>
        <v>40.759011, -73.9844722</v>
      </c>
      <c r="G7" s="3">
        <f>IFERROR(__xludf.DUMMYFUNCTION("SPLIT(F7,"", "")"),40.759011)</f>
        <v>40.759011</v>
      </c>
      <c r="H7" s="3">
        <f>IFERROR(__xludf.DUMMYFUNCTION("""COMPUTED_VALUE"""),-73.9844722)</f>
        <v>-73.9844722</v>
      </c>
    </row>
    <row r="8">
      <c r="A8" s="3" t="s">
        <v>26</v>
      </c>
      <c r="B8" s="3" t="str">
        <f t="shared" si="1"/>
        <v>The High Line, New York City, USA</v>
      </c>
      <c r="C8" s="3" t="s">
        <v>27</v>
      </c>
      <c r="D8" s="3" t="s">
        <v>28</v>
      </c>
      <c r="E8" s="4" t="str">
        <f t="shared" si="2"/>
        <v>https://www.google.com/maps/search/The%20High%20Line%2C%20New%20York%20City%2C%20USA</v>
      </c>
      <c r="F8" s="3" t="str">
        <f t="shared" si="3"/>
        <v>40.7479925, -74.0047649</v>
      </c>
      <c r="G8" s="3">
        <f>IFERROR(__xludf.DUMMYFUNCTION("SPLIT(F8,"", "")"),40.7479925)</f>
        <v>40.7479925</v>
      </c>
      <c r="H8" s="3">
        <f>IFERROR(__xludf.DUMMYFUNCTION("""COMPUTED_VALUE"""),-74.0047649)</f>
        <v>-74.0047649</v>
      </c>
    </row>
    <row r="9">
      <c r="A9" s="3" t="s">
        <v>29</v>
      </c>
      <c r="B9" s="3" t="str">
        <f t="shared" si="1"/>
        <v>Brooklyn Bridge, New York City, USA</v>
      </c>
      <c r="C9" s="3" t="s">
        <v>30</v>
      </c>
      <c r="D9" s="3" t="s">
        <v>31</v>
      </c>
      <c r="E9" s="4" t="str">
        <f t="shared" si="2"/>
        <v>https://www.google.com/maps/search/Brooklyn%20Bridge%2C%20New%20York%20City%2C%20USA</v>
      </c>
      <c r="F9" s="3" t="str">
        <f t="shared" si="3"/>
        <v>40.7060855, -73.9968643</v>
      </c>
      <c r="G9" s="3">
        <f>IFERROR(__xludf.DUMMYFUNCTION("SPLIT(F9,"", "")"),40.7060855)</f>
        <v>40.7060855</v>
      </c>
      <c r="H9" s="3">
        <f>IFERROR(__xludf.DUMMYFUNCTION("""COMPUTED_VALUE"""),-73.9968643)</f>
        <v>-73.9968643</v>
      </c>
    </row>
    <row r="10">
      <c r="A10" s="3" t="s">
        <v>32</v>
      </c>
      <c r="B10" s="3" t="str">
        <f t="shared" si="1"/>
        <v>9/11 Memorial &amp; Museum, New York City, USA</v>
      </c>
      <c r="C10" s="3" t="s">
        <v>33</v>
      </c>
      <c r="D10" s="3" t="s">
        <v>34</v>
      </c>
      <c r="E10" s="4" t="str">
        <f t="shared" si="2"/>
        <v>https://www.google.com/maps/search/9%2F11%20Memorial%20%26%20Museum%2C%20New%20York%20City%2C%20USA</v>
      </c>
      <c r="F10" s="3" t="str">
        <f t="shared" si="3"/>
        <v>40.7115776, -74.0133362</v>
      </c>
      <c r="G10" s="3">
        <f>IFERROR(__xludf.DUMMYFUNCTION("SPLIT(F10,"", "")"),40.7115776)</f>
        <v>40.7115776</v>
      </c>
      <c r="H10" s="3">
        <f>IFERROR(__xludf.DUMMYFUNCTION("""COMPUTED_VALUE"""),-74.0133362)</f>
        <v>-74.0133362</v>
      </c>
    </row>
    <row r="11">
      <c r="A11" s="3" t="s">
        <v>35</v>
      </c>
      <c r="B11" s="3" t="str">
        <f t="shared" si="1"/>
        <v>Museum of Modern Art (MoMA), New York City, USA</v>
      </c>
      <c r="C11" s="3" t="s">
        <v>36</v>
      </c>
      <c r="D11" s="3" t="s">
        <v>37</v>
      </c>
      <c r="E11" s="4" t="str">
        <f t="shared" si="2"/>
        <v>https://www.google.com/maps/search/Museum%20of%20Modern%20Art%20%28MoMA%29%2C%20New%20York%20City%2C%20USA</v>
      </c>
      <c r="F11" s="3" t="str">
        <f t="shared" si="3"/>
        <v>40.7614327, -73.97762159999999</v>
      </c>
      <c r="G11" s="3">
        <f>IFERROR(__xludf.DUMMYFUNCTION("SPLIT(F11,"", "")"),40.7614327)</f>
        <v>40.7614327</v>
      </c>
      <c r="H11" s="3">
        <f>IFERROR(__xludf.DUMMYFUNCTION("""COMPUTED_VALUE"""),-73.9776215999999)</f>
        <v>-73.9776216</v>
      </c>
    </row>
    <row r="12">
      <c r="A12" s="5"/>
      <c r="B12" s="5"/>
      <c r="C12" s="5"/>
      <c r="D12" s="6"/>
      <c r="F12" s="5"/>
      <c r="G12" s="5"/>
      <c r="H12" s="5"/>
    </row>
    <row r="13">
      <c r="A13" s="5"/>
      <c r="B13" s="5"/>
      <c r="C13" s="5"/>
      <c r="D13" s="6"/>
      <c r="F13" s="5"/>
      <c r="G13" s="5"/>
      <c r="H13" s="5"/>
    </row>
    <row r="14">
      <c r="A14" s="5"/>
      <c r="B14" s="5"/>
      <c r="C14" s="5"/>
      <c r="D14" s="6"/>
      <c r="F14" s="5"/>
      <c r="G14" s="5"/>
      <c r="H14" s="5"/>
    </row>
    <row r="15">
      <c r="A15" s="5"/>
      <c r="B15" s="5"/>
      <c r="C15" s="5"/>
      <c r="D15" s="6"/>
      <c r="F15" s="5"/>
      <c r="G15" s="5"/>
      <c r="H15" s="5"/>
    </row>
    <row r="16">
      <c r="A16" s="5"/>
      <c r="B16" s="5"/>
      <c r="C16" s="5"/>
      <c r="D16" s="6"/>
      <c r="F16" s="5"/>
      <c r="G16" s="5"/>
      <c r="H16" s="5"/>
    </row>
    <row r="17">
      <c r="A17" s="5"/>
      <c r="B17" s="5"/>
      <c r="C17" s="5"/>
      <c r="D17" s="6"/>
      <c r="F17" s="5"/>
      <c r="G17" s="5"/>
      <c r="H17" s="5"/>
    </row>
    <row r="18">
      <c r="A18" s="5"/>
      <c r="B18" s="5"/>
      <c r="C18" s="5"/>
      <c r="D18" s="6"/>
      <c r="F18" s="5"/>
      <c r="G18" s="5"/>
      <c r="H18" s="5"/>
    </row>
    <row r="19">
      <c r="A19" s="5"/>
      <c r="B19" s="5"/>
      <c r="C19" s="5"/>
      <c r="D19" s="6"/>
      <c r="F19" s="5"/>
      <c r="G19" s="5"/>
      <c r="H19" s="5"/>
    </row>
    <row r="20">
      <c r="A20" s="5"/>
      <c r="B20" s="5"/>
      <c r="C20" s="5"/>
      <c r="D20" s="6"/>
      <c r="F20" s="5"/>
      <c r="G20" s="5"/>
      <c r="H20" s="5"/>
    </row>
    <row r="21">
      <c r="A21" s="5"/>
      <c r="B21" s="5"/>
      <c r="C21" s="5"/>
      <c r="D21" s="6"/>
      <c r="F21" s="5"/>
      <c r="G21" s="5"/>
      <c r="H21" s="5"/>
    </row>
    <row r="22">
      <c r="A22" s="5"/>
      <c r="B22" s="5"/>
      <c r="C22" s="5"/>
      <c r="D22" s="6"/>
      <c r="F22" s="5"/>
      <c r="G22" s="5"/>
      <c r="H22" s="5"/>
    </row>
    <row r="23">
      <c r="A23" s="5"/>
      <c r="B23" s="5"/>
      <c r="C23" s="5"/>
      <c r="D23" s="6"/>
      <c r="F23" s="5"/>
      <c r="G23" s="5"/>
      <c r="H23" s="5"/>
    </row>
    <row r="24">
      <c r="A24" s="5"/>
      <c r="B24" s="5"/>
      <c r="C24" s="5"/>
      <c r="D24" s="6"/>
      <c r="F24" s="5"/>
      <c r="G24" s="5"/>
      <c r="H24" s="5"/>
    </row>
    <row r="25">
      <c r="A25" s="5"/>
      <c r="B25" s="5"/>
      <c r="C25" s="5"/>
      <c r="D25" s="6"/>
      <c r="F25" s="5"/>
      <c r="G25" s="5"/>
      <c r="H25" s="5"/>
    </row>
  </sheetData>
  <drawing r:id="rId1"/>
</worksheet>
</file>