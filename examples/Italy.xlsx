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inerary" sheetId="1" r:id="rId5"/>
    <sheet state="hidden" name="Chelsea" sheetId="2" r:id="rId6"/>
    <sheet state="visible" name="Amalfi" sheetId="3" r:id="rId7"/>
    <sheet state="visible" name="Consolidated Map" sheetId="4" r:id="rId8"/>
    <sheet state="hidden" name="Accomodations" sheetId="5" r:id="rId9"/>
    <sheet state="hidden" name="Unstructured Notes" sheetId="6" r:id="rId10"/>
    <sheet state="visible" name="Positano Night 1 Restaurants" sheetId="7" r:id="rId11"/>
    <sheet state="hidden" name="ChatGPT Itinerary 1" sheetId="8" r:id="rId12"/>
    <sheet state="hidden" name="Manus Itinerary 1" sheetId="9" r:id="rId13"/>
    <sheet state="hidden" name="YouTube" sheetId="10" r:id="rId14"/>
    <sheet state="hidden" name="Manus All Chiaia" sheetId="11" r:id="rId15"/>
    <sheet state="hidden" name="Manus Chiaia" sheetId="12" r:id="rId16"/>
    <sheet state="visible" name="Chiaia" sheetId="13" r:id="rId17"/>
    <sheet state="visible" name="Travel Times" sheetId="14" r:id="rId18"/>
    <sheet state="hidden" name="Manus Ravello" sheetId="15" r:id="rId19"/>
    <sheet state="hidden" name="Manus Praiano" sheetId="16" r:id="rId20"/>
  </sheets>
  <definedNames>
    <definedName hidden="1" localSheetId="3" name="_xlnm._FilterDatabase">'Consolidated Map'!$A$1:$T$284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1">
      <text>
        <t xml:space="preserve">Boat Confirmation:
Ciao, thank you for choosing our tour!
The meeting point is 10 minutes before your departure time.
Please keep in mind your bathing suit, sunscreen, and hat.
Please contact us with any questions you may have!
See you soon,
Grassi Junior Boats</t>
      </text>
    </comment>
    <comment authorId="0" ref="B10">
      <text>
        <t xml:space="preserve">Opening times
Restaurant
From 12.00 am to 3.30 pm
Beach
From 10.00 am to 6.00 pm
Bar
From 10.00 am to 6.00 pm
Boat service
Every morning from 9:50 am to 13:10 pm. Every afternoon from 3:15 am until late afternoon</t>
      </text>
    </comment>
    <comment authorId="0" ref="B8">
      <text>
        <t xml:space="preserve">Made note: no red meat for Chelsea
Dear Mr. DiNunzio,
Thank you for choosing “Rossellinis” for your Gastronomic Experience.
We are pleased to confirm the availability of the requested Table on September 3, 2025 at 8:00 pm for 2 guests.
To finalize the Reservation we require a credit card as a guarantee that can be entered through a link that you will receive shortly by email.
From 4 people onwards we require the choice of a single and identical tasting menu for the table.
The reservation can be considered confirmed only after the credit card has been entered (within 48 hours of receiving the email).
The Restaurant’s Cancellation Policy allows you to cancel or modify the reservation within 48 hours of the confirmed date of the dinner. On the contrary, in case of no-show or late cancellation, the expected Penalty of Euro 150.00 per person will be applied.
Furthermore, in order to welcome you in the best possible way, we would be grateful if you would send us information about any dietary restrictions.
While waiting to receive your kind confirmation, we remain at your disposal for any further information.
Kind regards.
Daniela d’Auria
Dining Palazzo Avino</t>
      </text>
    </comment>
    <comment authorId="0" ref="B6">
      <text>
        <t xml:space="preserve">La Fontelina's cancellation policy states that once a booking is confirmed, free cancellation is permitted up to 48 hours before the reserved date, provided the cancellation is made via email to fontelinacapri@gmail.com. There are no penalty charges for cancellations caused by inclement weather or rough seas. However, late cancellations and no-shows will incur a charge of €100 per person, and the entire booking will be canceled. It is noted that there is no credit card charge while booking.</t>
      </text>
    </comment>
    <comment authorId="0" ref="B5">
      <text>
        <t xml:space="preserve">Meeting point Capri - Marina Piccola (Capri)
We are located in Marina Piccola, near the Bar Merendero.
You can take the bus, walk, or hire a taxi from the Piazzetta
to Marina Piccola. On request pick up at Marina Grande,
porto.</t>
      </text>
    </comment>
    <comment authorId="0" ref="B3">
      <text>
        <t xml:space="preserve">Checked in to hotel online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M3">
      <text>
        <t xml:space="preserve">Thé location was PERFECT! It’s in the center you don’t have to worry about taking a taxi and when you need a taxi the taxi’s stop is literally around the corner! The room service and cleanliness was beyond amazing, the staff were so friendly and helpful, we got a nice view in the Room. They even offer us to keep the luggage after our check out till our departure.
I would like to thank Indira , Nunzia , Emanuel and Aniello for making our trip perfect and confortable. A place where I Will revisit again and book it again.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0">
      <text>
        <t xml:space="preserve">Essential Advance Bookings (Book Immediately)
1.
da Paolino, Capri - Requires months advance booking, celebrity favorite
2.
La Tagliata Cooking Class, Positano - Books out through November
3.
Le Monzù, Capri - Michelin-starred, limited seating
4.
L'Olivo, Capri - 2 Michelin stars, highest demand
5.
Rossellini's, Palazzo Avino - Michelin-starred hotel restaurant</t>
      </text>
    </comment>
  </commentList>
</comments>
</file>

<file path=xl/sharedStrings.xml><?xml version="1.0" encoding="utf-8"?>
<sst xmlns="http://schemas.openxmlformats.org/spreadsheetml/2006/main" count="8090" uniqueCount="2335">
  <si>
    <t>Date</t>
  </si>
  <si>
    <t>Main Itinerary</t>
  </si>
  <si>
    <t>Optional Activities</t>
  </si>
  <si>
    <t>Outfits</t>
  </si>
  <si>
    <t>Fly to Naples
4:46 Take off (SYR - ORD, 2H35M, ORD - NAP, AA 4134, AA 180)</t>
  </si>
  <si>
    <t>Packing List</t>
  </si>
  <si>
    <r>
      <rPr/>
      <t>Arrive Naples 1:00 PM
2:00 PM - Welcome Pickups to hotel (</t>
    </r>
    <r>
      <rPr>
        <color rgb="FF1155CC"/>
        <u/>
      </rPr>
      <t>reservation</t>
    </r>
    <r>
      <rPr/>
      <t xml:space="preserve">)
Check into </t>
    </r>
    <r>
      <rPr>
        <b/>
      </rPr>
      <t>Relais sul Mare Boutique Hotel</t>
    </r>
    <r>
      <rPr/>
      <t xml:space="preserve"> 3:00 PM (</t>
    </r>
    <r>
      <rPr>
        <color rgb="FF1155CC"/>
        <u/>
      </rPr>
      <t>reservation</t>
    </r>
    <r>
      <rPr/>
      <t xml:space="preserve">)
</t>
    </r>
    <r>
      <rPr>
        <color rgb="FFFF9900"/>
      </rPr>
      <t>TODO: Find nearby attractions and pizza spots</t>
    </r>
    <r>
      <rPr>
        <color rgb="FFFF0000"/>
      </rPr>
      <t xml:space="preserve">
</t>
    </r>
    <r>
      <rPr/>
      <t xml:space="preserve">Dinner (7:30) </t>
    </r>
    <r>
      <rPr>
        <b/>
      </rPr>
      <t>50 Kalò - Piazza della Repubblica</t>
    </r>
    <r>
      <rPr/>
      <t xml:space="preserve"> (</t>
    </r>
    <r>
      <rPr>
        <color rgb="FF1155CC"/>
        <u/>
      </rPr>
      <t>reservation</t>
    </r>
    <r>
      <rPr/>
      <t>)</t>
    </r>
  </si>
  <si>
    <t>welcomepickups</t>
  </si>
  <si>
    <r>
      <rPr>
        <color rgb="FF1155CC"/>
        <u/>
      </rPr>
      <t>Dinner Options</t>
    </r>
    <r>
      <rPr/>
      <t>:
Palazzo Petrucci
Ristorante Il Miracolo dei Pesci
Ristorante Reginella
La Scialuppa
50 kalo</t>
    </r>
  </si>
  <si>
    <r>
      <rPr/>
      <t xml:space="preserve">Naples/Capri
</t>
    </r>
    <r>
      <rPr>
        <b/>
      </rPr>
      <t>8:10 board ferry</t>
    </r>
    <r>
      <rPr/>
      <t xml:space="preserve"> to Capri (</t>
    </r>
    <r>
      <rPr>
        <color rgb="FF1155CC"/>
        <u/>
      </rPr>
      <t>reservation</t>
    </r>
    <r>
      <rPr/>
      <t xml:space="preserve">, boards 8:40, leaves 9:10) - Depart from </t>
    </r>
    <r>
      <rPr>
        <color rgb="FF1155CC"/>
        <u/>
      </rPr>
      <t>Molo Beverello</t>
    </r>
    <r>
      <rPr/>
      <t xml:space="preserve">
Check out of Relais sul Mare 11:30 AM
Check into </t>
    </r>
    <r>
      <rPr>
        <b/>
      </rPr>
      <t>La Residenza</t>
    </r>
    <r>
      <rPr/>
      <t xml:space="preserve"> Capri 3:00 PM  (</t>
    </r>
    <r>
      <rPr>
        <color rgb="FF1155CC"/>
        <u/>
      </rPr>
      <t>reservation</t>
    </r>
    <r>
      <rPr/>
      <t xml:space="preserve">)?
Buy wine and snacks for boat day tomorrow (bring in discreet tote)
Dinner (8 PM) at </t>
    </r>
    <r>
      <rPr>
        <b/>
      </rPr>
      <t>Villa Margherita</t>
    </r>
    <r>
      <rPr/>
      <t xml:space="preserve"> (</t>
    </r>
    <r>
      <rPr>
        <color rgb="FF1155CC"/>
        <u/>
      </rPr>
      <t>reservation</t>
    </r>
    <r>
      <rPr/>
      <t>)</t>
    </r>
  </si>
  <si>
    <r>
      <rPr/>
      <t xml:space="preserve">Cafe: </t>
    </r>
    <r>
      <rPr>
        <color rgb="FF1155CC"/>
        <u/>
      </rPr>
      <t xml:space="preserve">Cafe Caso
</t>
    </r>
    <r>
      <rPr/>
      <t xml:space="preserve">Hike: </t>
    </r>
    <r>
      <rPr>
        <color rgb="FF1155CC"/>
        <u/>
      </rPr>
      <t>Gardens of Augustus</t>
    </r>
    <r>
      <rPr/>
      <t xml:space="preserve">
Hike: </t>
    </r>
    <r>
      <rPr>
        <color rgb="FF1155CC"/>
        <u/>
      </rPr>
      <t>Via Krupp</t>
    </r>
    <r>
      <rPr/>
      <t xml:space="preserve">
Shop: </t>
    </r>
    <r>
      <rPr>
        <color rgb="FF1155CC"/>
        <u/>
      </rPr>
      <t>Via Camerelle</t>
    </r>
    <r>
      <rPr/>
      <t xml:space="preserve">
Boat Provisions: </t>
    </r>
    <r>
      <rPr>
        <color rgb="FF1155CC"/>
        <u/>
      </rPr>
      <t>Enoteca La Vineria</t>
    </r>
    <r>
      <rPr/>
      <t xml:space="preserve">, </t>
    </r>
    <r>
      <rPr>
        <color rgb="FF1155CC"/>
        <u/>
      </rPr>
      <t xml:space="preserve">Other Recommendations
</t>
    </r>
    <r>
      <rPr/>
      <t>Pool: Hotel</t>
    </r>
  </si>
  <si>
    <r>
      <rPr/>
      <t xml:space="preserve">Capri
</t>
    </r>
    <r>
      <rPr>
        <b/>
      </rPr>
      <t>Boat Day</t>
    </r>
    <r>
      <rPr/>
      <t xml:space="preserve"> 9:00 AM - 4:00 PM - Marina Piccola (</t>
    </r>
    <r>
      <rPr>
        <color rgb="FF1155CC"/>
        <u/>
      </rPr>
      <t>ticket</t>
    </r>
    <r>
      <rPr/>
      <t xml:space="preserve">, </t>
    </r>
    <r>
      <rPr>
        <color rgb="FF1155CC"/>
        <u/>
      </rPr>
      <t>reservation</t>
    </r>
    <r>
      <rPr/>
      <t xml:space="preserve">) </t>
    </r>
    <r>
      <rPr>
        <color rgb="FFFF9900"/>
      </rPr>
      <t>TODO: Find landmarks</t>
    </r>
    <r>
      <rPr/>
      <t xml:space="preserve">
Dinner (8 PM) at </t>
    </r>
    <r>
      <rPr>
        <b/>
      </rPr>
      <t>Da Paolino</t>
    </r>
    <r>
      <rPr/>
      <t xml:space="preserve"> (</t>
    </r>
    <r>
      <rPr>
        <color rgb="FF1155CC"/>
        <u/>
      </rPr>
      <t>reservation</t>
    </r>
    <r>
      <rPr/>
      <t>)</t>
    </r>
  </si>
  <si>
    <t>Linen pants, Rag &amp; Bone polo, leather loafers</t>
  </si>
  <si>
    <r>
      <rPr/>
      <t xml:space="preserve">Capri
</t>
    </r>
    <r>
      <rPr>
        <b/>
      </rPr>
      <t>La Fontelina</t>
    </r>
    <r>
      <rPr/>
      <t xml:space="preserve"> (</t>
    </r>
    <r>
      <rPr>
        <color rgb="FF1155CC"/>
        <u/>
      </rPr>
      <t>reservation</t>
    </r>
    <r>
      <rPr/>
      <t xml:space="preserve">, opens 9:30 AM, lunch 1PM, must check in before 1 PM)
Dinner (7:00 PM) at </t>
    </r>
    <r>
      <rPr>
        <b/>
      </rPr>
      <t>Pullali</t>
    </r>
    <r>
      <rPr/>
      <t xml:space="preserve"> (</t>
    </r>
    <r>
      <rPr>
        <color rgb="FF1155CC"/>
        <u/>
      </rPr>
      <t>reservation</t>
    </r>
    <r>
      <rPr/>
      <t>)</t>
    </r>
  </si>
  <si>
    <r>
      <rPr/>
      <t xml:space="preserve">Night Club: </t>
    </r>
    <r>
      <rPr>
        <color rgb="FF1155CC"/>
        <u/>
      </rPr>
      <t>Anema e Core</t>
    </r>
  </si>
  <si>
    <r>
      <t xml:space="preserve">Capri to Ravello
Check out of La Residenza Capri 11:00 AM
</t>
    </r>
    <r>
      <rPr>
        <b/>
      </rPr>
      <t>10:45 board Ferry</t>
    </r>
    <r>
      <rPr/>
      <t xml:space="preserve"> leaving at 11:45 to Amalfi (</t>
    </r>
    <r>
      <rPr>
        <color rgb="FF1155CC"/>
        <u/>
      </rPr>
      <t>reservation</t>
    </r>
    <r>
      <rPr/>
      <t>)</t>
    </r>
    <r>
      <rPr>
        <color rgb="FFFF9900"/>
      </rPr>
      <t xml:space="preserve">
</t>
    </r>
    <r>
      <rPr/>
      <t>Ride from Giancarlo +393394432880 to Ravello (75 euro) (</t>
    </r>
    <r>
      <rPr>
        <color rgb="FF1155CC"/>
        <u/>
      </rPr>
      <t>email</t>
    </r>
    <r>
      <rPr/>
      <t xml:space="preserve">)
Check into </t>
    </r>
    <r>
      <rPr>
        <b/>
      </rPr>
      <t>Hotel Rufolo</t>
    </r>
    <r>
      <rPr/>
      <t xml:space="preserve"> 2:00 PM (</t>
    </r>
    <r>
      <rPr>
        <color rgb="FF1155CC"/>
        <u/>
      </rPr>
      <t>Reservation</t>
    </r>
    <r>
      <rPr/>
      <t xml:space="preserve">, </t>
    </r>
    <r>
      <rPr>
        <color rgb="FF1155CC"/>
        <u/>
      </rPr>
      <t>King Size Bed Confirmation</t>
    </r>
    <r>
      <rPr/>
      <t xml:space="preserve">)
</t>
    </r>
    <r>
      <rPr>
        <color rgb="FFFF9900"/>
      </rPr>
      <t>TODO: Find Dinner</t>
    </r>
  </si>
  <si>
    <t>Pool: Hotel</t>
  </si>
  <si>
    <r>
      <rPr/>
      <t xml:space="preserve">Ravello
Dinner (7:30 PM) at </t>
    </r>
    <r>
      <rPr>
        <b/>
      </rPr>
      <t>Rossellinis</t>
    </r>
    <r>
      <rPr/>
      <t xml:space="preserve"> (</t>
    </r>
    <r>
      <rPr>
        <color rgb="FF1155CC"/>
        <u/>
      </rPr>
      <t>reservation</t>
    </r>
    <r>
      <rPr/>
      <t>)</t>
    </r>
  </si>
  <si>
    <r>
      <rPr/>
      <t xml:space="preserve">Garden: </t>
    </r>
    <r>
      <rPr>
        <color rgb="FF1155CC"/>
        <u/>
      </rPr>
      <t xml:space="preserve">Giardini Principessa di Piemonte
</t>
    </r>
    <r>
      <rPr/>
      <t xml:space="preserve">Shopping: </t>
    </r>
    <r>
      <rPr>
        <color rgb="FF1155CC"/>
        <u/>
      </rPr>
      <t xml:space="preserve">Local Artisan Shops
</t>
    </r>
    <r>
      <rPr/>
      <t xml:space="preserve">Wine Bar: </t>
    </r>
    <r>
      <rPr>
        <color rgb="FF1155CC"/>
        <u/>
      </rPr>
      <t>Enotavola Wine Bar</t>
    </r>
  </si>
  <si>
    <r>
      <rPr/>
      <t xml:space="preserve">Ravello to Positano
Check out of Hotel Rufolo 11:00 AM
</t>
    </r>
    <r>
      <rPr>
        <b/>
      </rPr>
      <t>Mamma Agata</t>
    </r>
    <r>
      <rPr/>
      <t xml:space="preserve"> (bring 720 Euro, 9:45 AM - 4 PM, </t>
    </r>
    <r>
      <rPr>
        <color rgb="FF1155CC"/>
        <u/>
      </rPr>
      <t>reservation</t>
    </r>
    <r>
      <rPr/>
      <t xml:space="preserve">, </t>
    </r>
    <r>
      <rPr>
        <color rgb="FF1155CC"/>
        <u/>
      </rPr>
      <t>vegetarian option confirmation</t>
    </r>
    <r>
      <rPr/>
      <t xml:space="preserve">)
</t>
    </r>
    <r>
      <rPr>
        <color rgb="FFFF9900"/>
      </rPr>
      <t>TOOD: Book driver to Praiano (4:30 recommended by Mamma Agata)</t>
    </r>
    <r>
      <rPr>
        <color rgb="FFFF0000"/>
      </rPr>
      <t xml:space="preserve">
</t>
    </r>
    <r>
      <rPr/>
      <t xml:space="preserve">Check into </t>
    </r>
    <r>
      <rPr>
        <b/>
      </rPr>
      <t>Hotel Savoia</t>
    </r>
    <r>
      <rPr/>
      <t xml:space="preserve"> 2:00 PM (</t>
    </r>
    <r>
      <rPr>
        <color rgb="FF1155CC"/>
        <u/>
      </rPr>
      <t>Reservation</t>
    </r>
    <r>
      <rPr/>
      <t>)</t>
    </r>
    <r>
      <rPr>
        <color rgb="FFFF0000"/>
      </rPr>
      <t xml:space="preserve">
</t>
    </r>
    <r>
      <rPr/>
      <t>Dinner: See casual options on Right</t>
    </r>
  </si>
  <si>
    <r>
      <rPr/>
      <t xml:space="preserve">Dinner: </t>
    </r>
    <r>
      <rPr>
        <color rgb="FF1155CC"/>
        <u/>
      </rPr>
      <t>Casual nearby options</t>
    </r>
  </si>
  <si>
    <t>Dinner Options:
Ristorante La Cambusa
Casa e Bottega
Ristorante Il Capitano
Valle dei Mulini
Ristorante Da Bruno
Il Tridente Positano</t>
  </si>
  <si>
    <t>Zass
Ristorante Bruno
Chez Black</t>
  </si>
  <si>
    <r>
      <rPr/>
      <t xml:space="preserve">Positano
</t>
    </r>
    <r>
      <rPr>
        <b/>
      </rPr>
      <t>Arienzo beach club</t>
    </r>
    <r>
      <rPr/>
      <t xml:space="preserve"> Beach time 11:10 AM, Lunch Time 2:30 PM (times adjustable, </t>
    </r>
    <r>
      <rPr>
        <color rgb="FF1155CC"/>
        <u/>
      </rPr>
      <t>Reservation: PVTPTL</t>
    </r>
    <r>
      <rPr/>
      <t>)</t>
    </r>
    <r>
      <rPr>
        <b/>
        <color rgb="FFFF0000"/>
      </rPr>
      <t xml:space="preserve">
</t>
    </r>
    <r>
      <rPr/>
      <t xml:space="preserve">Dinner: 8:00 PM at </t>
    </r>
    <r>
      <rPr>
        <b/>
      </rPr>
      <t>Buca di Bacco</t>
    </r>
    <r>
      <rPr/>
      <t xml:space="preserve"> (</t>
    </r>
    <r>
      <rPr>
        <color rgb="FF1155CC"/>
        <u/>
      </rPr>
      <t>reservation</t>
    </r>
    <r>
      <rPr/>
      <t>)</t>
    </r>
  </si>
  <si>
    <t>Booking Link</t>
  </si>
  <si>
    <r>
      <rPr/>
      <t xml:space="preserve">Positano
</t>
    </r>
    <r>
      <rPr>
        <b/>
      </rPr>
      <t>Boat day 2:</t>
    </r>
    <r>
      <rPr/>
      <t xml:space="preserve"> 9:00 AM - 1:00 PM Grassi Junior Boats (</t>
    </r>
    <r>
      <rPr>
        <color rgb="FF1155CC"/>
        <u/>
      </rPr>
      <t>reservation</t>
    </r>
    <r>
      <rPr/>
      <t xml:space="preserve">, </t>
    </r>
    <r>
      <rPr>
        <color rgb="FF1155CC"/>
        <u/>
      </rPr>
      <t>ticket</t>
    </r>
    <r>
      <rPr/>
      <t xml:space="preserve">)
Cruise toward the Fjord of Furore, Conca dei Marini, or around Li Galli Islands
</t>
    </r>
    <r>
      <rPr>
        <color rgb="FFFF0000"/>
      </rPr>
      <t>TODO: Add boat day spots to map</t>
    </r>
    <r>
      <rPr/>
      <t xml:space="preserve">
</t>
    </r>
    <r>
      <rPr>
        <color rgb="FFFF9900"/>
      </rPr>
      <t>TODO: Da Adolfo lunch reservation</t>
    </r>
    <r>
      <rPr>
        <b/>
        <color rgb="FFFF0000"/>
      </rPr>
      <t xml:space="preserve">
</t>
    </r>
    <r>
      <rPr/>
      <t xml:space="preserve">Dinner: </t>
    </r>
    <r>
      <rPr>
        <b/>
      </rPr>
      <t>Rada</t>
    </r>
    <r>
      <rPr/>
      <t xml:space="preserve"> at 9:00 PM (</t>
    </r>
    <r>
      <rPr>
        <color rgb="FF1155CC"/>
        <u/>
      </rPr>
      <t>reservation</t>
    </r>
    <r>
      <rPr/>
      <t>)</t>
    </r>
    <r>
      <rPr>
        <color rgb="FFFF0000"/>
      </rPr>
      <t xml:space="preserve"> </t>
    </r>
    <r>
      <rPr/>
      <t>requested outdoor seating with a view (</t>
    </r>
    <r>
      <rPr>
        <color rgb="FF1155CC"/>
        <u/>
      </rPr>
      <t>email</t>
    </r>
    <r>
      <rPr/>
      <t>)</t>
    </r>
  </si>
  <si>
    <r>
      <rPr/>
      <t xml:space="preserve">Night Club: </t>
    </r>
    <r>
      <rPr>
        <color rgb="FF1155CC"/>
        <u/>
      </rPr>
      <t xml:space="preserve">Music on the Rocks
</t>
    </r>
    <r>
      <rPr/>
      <t xml:space="preserve">Rooftop Cocktail: </t>
    </r>
    <r>
      <rPr>
        <color rgb="FF1155CC"/>
        <u/>
      </rPr>
      <t>Frano's Bar (if open)</t>
    </r>
    <r>
      <rPr>
        <color rgb="FF000000"/>
      </rPr>
      <t xml:space="preserve">
</t>
    </r>
    <r>
      <rPr>
        <color rgb="FF1155CC"/>
        <u/>
      </rPr>
      <t>Booking Link</t>
    </r>
  </si>
  <si>
    <r>
      <rPr/>
      <t xml:space="preserve">Positano
Lunch: </t>
    </r>
    <r>
      <rPr>
        <b/>
      </rPr>
      <t>Il Pirata</t>
    </r>
    <r>
      <rPr/>
      <t xml:space="preserve"> at 1:00 PM (</t>
    </r>
    <r>
      <rPr>
        <color rgb="FF1155CC"/>
        <u/>
      </rPr>
      <t>reservation</t>
    </r>
    <r>
      <rPr/>
      <t xml:space="preserve">)
</t>
    </r>
    <r>
      <rPr>
        <color rgb="FFFF9900"/>
      </rPr>
      <t xml:space="preserve">TODO: Plan day - </t>
    </r>
    <r>
      <rPr>
        <color rgb="FFFF9900"/>
        <u/>
      </rPr>
      <t>options</t>
    </r>
    <r>
      <rPr/>
      <t xml:space="preserve"> Vespa day? Hiking day?
Dinner: </t>
    </r>
    <r>
      <rPr>
        <b/>
      </rPr>
      <t>Adamo ed Eva</t>
    </r>
    <r>
      <rPr/>
      <t xml:space="preserve"> at 7:00 PM (</t>
    </r>
    <r>
      <rPr>
        <color rgb="FF1155CC"/>
        <u/>
      </rPr>
      <t>reservation</t>
    </r>
    <r>
      <rPr/>
      <t>) requested outdoor seating with a view (</t>
    </r>
    <r>
      <rPr>
        <color rgb="FF1155CC"/>
        <u/>
      </rPr>
      <t>email</t>
    </r>
    <r>
      <rPr/>
      <t>)</t>
    </r>
  </si>
  <si>
    <r>
      <rPr>
        <color rgb="FF1155CC"/>
        <u/>
      </rPr>
      <t xml:space="preserve">Options for Day
</t>
    </r>
    <r>
      <rPr/>
      <t xml:space="preserve">Hike: </t>
    </r>
    <r>
      <rPr>
        <color rgb="FF1155CC"/>
        <u/>
      </rPr>
      <t xml:space="preserve">Path of the gods
</t>
    </r>
    <r>
      <rPr/>
      <t xml:space="preserve">Vespa: </t>
    </r>
    <r>
      <rPr>
        <color rgb="FF1155CC"/>
        <u/>
      </rPr>
      <t xml:space="preserve">Destination options
</t>
    </r>
    <r>
      <rPr/>
      <t>Farm: Limoncello Tour</t>
    </r>
  </si>
  <si>
    <r>
      <rPr>
        <rFont val="Arial"/>
        <color theme="1"/>
      </rPr>
      <t xml:space="preserve">Check out of Hotel Savoia 11:00 AM
</t>
    </r>
    <r>
      <rPr>
        <rFont val="Arial"/>
        <color rgb="FFFF9900"/>
      </rPr>
      <t>TODO: Book car from hotel to Airport</t>
    </r>
    <r>
      <rPr>
        <rFont val="Arial"/>
        <color theme="1"/>
      </rPr>
      <t xml:space="preserve">
12:00 PM Take off (NAP - PHL 3H - SYR, AA 781, AA 5950)</t>
    </r>
  </si>
  <si>
    <t>:)</t>
  </si>
  <si>
    <t>https://sierrainthecity.com/best-restaurants-in-positano/</t>
  </si>
  <si>
    <t>chat gpt</t>
  </si>
  <si>
    <t>manus</t>
  </si>
  <si>
    <t>Map</t>
  </si>
  <si>
    <t>Todo Immediate</t>
  </si>
  <si>
    <t>Major Items to Book</t>
  </si>
  <si>
    <t>Status</t>
  </si>
  <si>
    <t>Ideas</t>
  </si>
  <si>
    <t>Capri Hotels</t>
  </si>
  <si>
    <t>Paiano/Positano Hotels</t>
  </si>
  <si>
    <t>TODO</t>
  </si>
  <si>
    <t>Spots</t>
  </si>
  <si>
    <t>Travel Assistant</t>
  </si>
  <si>
    <t>Capri boat dat</t>
  </si>
  <si>
    <t>La Fontelina (Capri)</t>
  </si>
  <si>
    <t>Booked for Mon 9/1</t>
  </si>
  <si>
    <t>L'Olivo and Mote Solare Chair Lift (Capri)</t>
  </si>
  <si>
    <t>Sina Flora</t>
  </si>
  <si>
    <t>Booked, free cancellation before Aug 23</t>
  </si>
  <si>
    <t>Praiano</t>
  </si>
  <si>
    <t>Casa Angelina</t>
  </si>
  <si>
    <t>Near One Fire Beach Club</t>
  </si>
  <si>
    <t>Find spots for Capri</t>
  </si>
  <si>
    <t>Cafes</t>
  </si>
  <si>
    <t>Naples HoodMap</t>
  </si>
  <si>
    <t>Da Luigis</t>
  </si>
  <si>
    <t>La Tagliata (Positano)</t>
  </si>
  <si>
    <t>Requested 6/17</t>
  </si>
  <si>
    <t>A little far</t>
  </si>
  <si>
    <t>Villa Marini</t>
  </si>
  <si>
    <t>Positano</t>
  </si>
  <si>
    <t>Casa Nilde</t>
  </si>
  <si>
    <t>BnB</t>
  </si>
  <si>
    <t>Booked, cancel before Aug 21</t>
  </si>
  <si>
    <t>Find spots for Ravello</t>
  </si>
  <si>
    <t>Aperitivo</t>
  </si>
  <si>
    <t>ChatGPT: Amafli Deep-Dive</t>
  </si>
  <si>
    <t>Restaurants in capri</t>
  </si>
  <si>
    <t>Ristorante Il Pirata (Praiano)</t>
  </si>
  <si>
    <t>1. Delux suite wtih spa bath is sick</t>
  </si>
  <si>
    <t>Palazzo M Capri</t>
  </si>
  <si>
    <t>No pool?</t>
  </si>
  <si>
    <t>Your home in the heart of Positano - centralissima</t>
  </si>
  <si>
    <t>Find spots for Positano</t>
  </si>
  <si>
    <t>Rooftop bar</t>
  </si>
  <si>
    <t>Apple Notes: Activity Ideas</t>
  </si>
  <si>
    <t>da Paolino</t>
  </si>
  <si>
    <t>Booked for Sun Aug 31</t>
  </si>
  <si>
    <t>Anacapri</t>
  </si>
  <si>
    <t>Boutique Hotel Casa Mariantonia</t>
  </si>
  <si>
    <t>Villa Joseph Talamo</t>
  </si>
  <si>
    <t>Gardens/Vistas</t>
  </si>
  <si>
    <t>ChatGPT (Live): Casual discussion about beach clubs</t>
  </si>
  <si>
    <t>Capri Boat day</t>
  </si>
  <si>
    <t>Dated</t>
  </si>
  <si>
    <t>Grand Hotel Quisisana</t>
  </si>
  <si>
    <t>No sea view</t>
  </si>
  <si>
    <t>Hotel Poseidon</t>
  </si>
  <si>
    <t>Hikes</t>
  </si>
  <si>
    <t>Mamma Agata</t>
  </si>
  <si>
    <t>Booked for Thu 9/4</t>
  </si>
  <si>
    <t>Exceptional</t>
  </si>
  <si>
    <t>Pazziella Garden &amp; Suites</t>
  </si>
  <si>
    <t>Chase</t>
  </si>
  <si>
    <t>Hotel Savoia</t>
  </si>
  <si>
    <t>Wine bar</t>
  </si>
  <si>
    <t>Manus: Itinerary</t>
  </si>
  <si>
    <t>Rossellini's, Palazzo Avino</t>
  </si>
  <si>
    <t>Booked for Wed 9/3</t>
  </si>
  <si>
    <t>2. Cool ground</t>
  </si>
  <si>
    <t>Villa Certosa</t>
  </si>
  <si>
    <t>Chase is better</t>
  </si>
  <si>
    <t>La Caravella di Positano</t>
  </si>
  <si>
    <t>Wine tasting</t>
  </si>
  <si>
    <t>Boat day in Praiano?</t>
  </si>
  <si>
    <t>Hotel Villa Ceselle (Value Option)</t>
  </si>
  <si>
    <t>Hotel Montemare</t>
  </si>
  <si>
    <t>Via Pasitea 119, 84017 Positano, Italy</t>
  </si>
  <si>
    <t>Lunch spots</t>
  </si>
  <si>
    <t>Naples Hotel</t>
  </si>
  <si>
    <t>Booked Relais sul Mare</t>
  </si>
  <si>
    <t>Todo tm:</t>
  </si>
  <si>
    <t>Wonderful</t>
  </si>
  <si>
    <t>Capri Tiberio Palace</t>
  </si>
  <si>
    <t>41 Via Guglielmo Marconi, 84017 Positano, Italy</t>
  </si>
  <si>
    <t>Beaches</t>
  </si>
  <si>
    <t>Positano Todo</t>
  </si>
  <si>
    <t>Important nearby:</t>
  </si>
  <si>
    <t>Da Luigis in Capri</t>
  </si>
  <si>
    <t>Done</t>
  </si>
  <si>
    <t>Figure out dates there</t>
  </si>
  <si>
    <t>Seaside, far, free cancellation</t>
  </si>
  <si>
    <t>Jumeirah Capri Palace</t>
  </si>
  <si>
    <t>Villa Dani</t>
  </si>
  <si>
    <t>Via del Saracino, 84017 Positano, Italy</t>
  </si>
  <si>
    <t>Shopping areas</t>
  </si>
  <si>
    <t>Drink Spot reservations</t>
  </si>
  <si>
    <t>Travel Insurance</t>
  </si>
  <si>
    <t>Start requesting restaurants on left</t>
  </si>
  <si>
    <t>Apartment</t>
  </si>
  <si>
    <t>Sunbliss Capri</t>
  </si>
  <si>
    <t>Historical sites</t>
  </si>
  <si>
    <t>Hotel</t>
  </si>
  <si>
    <t>Sandwich/Pastry Shops</t>
  </si>
  <si>
    <t>Arienzo in Positano</t>
  </si>
  <si>
    <t>Booked for 9/5</t>
  </si>
  <si>
    <t>Ask how to best book boat day, where, cost, and type (blue grotto, personal boat, private tours?)</t>
  </si>
  <si>
    <t>Punta Tragara</t>
  </si>
  <si>
    <t>Rooftop cocktails at Hotel Le Sirenuse</t>
  </si>
  <si>
    <t>Gelaterias</t>
  </si>
  <si>
    <t>Spiaggia di Playa in Positano</t>
  </si>
  <si>
    <t>Book hotel for Capri</t>
  </si>
  <si>
    <t>Villa Marina Capri</t>
  </si>
  <si>
    <t>Sunset dinners in Positano</t>
  </si>
  <si>
    <t>Rooftop/Waterfront/Scenic drinks</t>
  </si>
  <si>
    <t>Add Buca di Bacco to Dining List</t>
  </si>
  <si>
    <t>Added to consolidated map, reservations available</t>
  </si>
  <si>
    <t>Add flight times to itinerary</t>
  </si>
  <si>
    <t>Hotel La Vega</t>
  </si>
  <si>
    <r>
      <rPr>
        <color rgb="FF1155CC"/>
        <u/>
      </rPr>
      <t>Booking.com</t>
    </r>
    <r>
      <rPr/>
      <t xml:space="preserve"> only</t>
    </r>
  </si>
  <si>
    <t>Wine bars</t>
  </si>
  <si>
    <t>Finalize Capri dining</t>
  </si>
  <si>
    <t>Book hotel for Naples</t>
  </si>
  <si>
    <t>Grand Hotel Parkers</t>
  </si>
  <si>
    <t>La Residenza Capri</t>
  </si>
  <si>
    <t>Walks/Hikes</t>
  </si>
  <si>
    <t>Find nearby lunch spots, walks, attractions</t>
  </si>
  <si>
    <t>Book dinner for Naples night 1</t>
  </si>
  <si>
    <t>Cost Tracker</t>
  </si>
  <si>
    <t>Night Clubs/Night Life</t>
  </si>
  <si>
    <t>Relais sul Mare</t>
  </si>
  <si>
    <t>To Factor In</t>
  </si>
  <si>
    <t>Chiaia Hotels</t>
  </si>
  <si>
    <t>Map Layers:</t>
  </si>
  <si>
    <t>Fiordo di Furore</t>
  </si>
  <si>
    <t>Grand Hotel Santa Lucia</t>
  </si>
  <si>
    <t>La Fontelina</t>
  </si>
  <si>
    <t>Main Events</t>
  </si>
  <si>
    <t>Marina di Praia</t>
  </si>
  <si>
    <t>Caruso Place Boutique &amp; Wellness Suites</t>
  </si>
  <si>
    <t>Arienzo</t>
  </si>
  <si>
    <t>Curated Options</t>
  </si>
  <si>
    <t>Relais sul Mare Boutique Hotel</t>
  </si>
  <si>
    <t>Cheap sea view</t>
  </si>
  <si>
    <t>Capri Blue Boats</t>
  </si>
  <si>
    <t>All</t>
  </si>
  <si>
    <t>Other small todo</t>
  </si>
  <si>
    <t>Grassi Junior Boats</t>
  </si>
  <si>
    <t>Find cafes nearby to hotels for coffee/breakfast</t>
  </si>
  <si>
    <t>Find lunch spots nearby to hotels</t>
  </si>
  <si>
    <t>Da Paolino</t>
  </si>
  <si>
    <t xml:space="preserve"> </t>
  </si>
  <si>
    <t>Find a few casual dinner spots</t>
  </si>
  <si>
    <t>Rosselinis</t>
  </si>
  <si>
    <t>Find "optional" nearby attractions (e.g. villas to explore)</t>
  </si>
  <si>
    <t>Book transportation between hotels</t>
  </si>
  <si>
    <t>Le Monzù, Capri</t>
  </si>
  <si>
    <t>L'Olivo, Capri</t>
  </si>
  <si>
    <t>Prompts</t>
  </si>
  <si>
    <t>Vespa day in Praiano?</t>
  </si>
  <si>
    <t>Itinerary</t>
  </si>
  <si>
    <t>Hi! My girlfriend (29F) and I (33M) are planning a romantic trip to the Amalfi Coast from August 30 to September 8 (9 nights, 10 days). It’s our first time in Italy, and we’re prioritizing relaxation, scenic beauty, romance, and well-curated experiences over high-effort city touring. We’re New Yorkers, so we want to avoid anything that feels like a Times Square/cruise ship/tourist trap vibe — no cheap souvenir stands, no English-only menus, no tourist junk zones. That said, we’re totally fine with places that are popular or Instagrammable as long as they’re visually stunning, tasteful, and offer a genuine or luxurious experience (like a cliffside restaurant or a boutique hotel with views). We’d like to: Fly into Naples (arriving Aug 30), spend 1 night for the culture and pizza Ferry to Capri for 1-3 nights to explore beaches, views, and maybe a boat day. Ferry to the Amalfi Coast, staying the reset of our nights in scenic towns like Ravello, Praiano, or Conca dei Marini — open to mixing between them. Fly out of Naples on Sept 8. We’re open to renting a car if it makes things easier, but it seems ferries with a mix of private transfers and vespas might be the simplest route. We’d love help finalizing: Which towns to base ourselves in (and for how long). A day-by-day structure using “anchor activities” and optional extras. Boutique hotel or lodging suggestions in each area. Restaurant, beach club, or boat day ideas that match our taste. Best use of ferries, private drivers, or transfer timing. Here were some high-level things we were interested in generally before settling on Amalfi as our destination: - [ ] Beach day (e.g. one lined with umbrellas) - [ ] Beach club - [ ] Vespa riding - [ ] Wine tasting tour (foot, bike, or vespa, or one single location without movement if easier) - [ ] Grotta Palazzese dinner (this is in Puglia, but we'd love something with a similar memorable stunning view) - [ ] Boat day - [ ] Aperol spritz rooftop sunset - [ ] Good authentic local food - [ ] Cooking class (normal/authentic or crazy and fun like La Tagliata cooking class in Positano) - [ ] Hike (e.g. along costal cliffside or in historic towns) - [ ] If there are any notable spas, thermal pools, or ancient bath houses in the region we might be up for checking them out but that's not a priority for diverting travel When planning think: romantic, adventurous, beautiful, and upscale — but never tacky. Thanks!</t>
  </si>
  <si>
    <t>Maps</t>
  </si>
  <si>
    <t>Thanks, can you compile all the places you recommended into a table with the following columns:
Name: The name of the location
Region: The town, city, neighborhood, or region
Type: The type of location (e.g. hotel, Restaurant (lunch), Restaurant (dinner) Cafe, Gelateria, Rooftop Bar, Speakeasy, etc)
Emoji: A representative emoji to be used on the map as an icon.
Description: A description of the spot and its general vibe
Special Notes: Any special considerations (must order items, dress code, cool historical facts, etc)
Hours: Hours of operation (if applicable)
Cost Range: Indication of how much 2 people would be expected to spend in a visit (in USD)
Address: The full address (including country) if available
LatLong: The latitude and Longitude separated by a comma and space</t>
  </si>
  <si>
    <t>Map Options</t>
  </si>
  <si>
    <t>Can you also recommend a mix of spots nearby that are in our general area and might be good to know about in case we are feeling spontaneous (so not as itinerary-oriented and more options list). Feel free to use my list or sprinkle in things we don't know about. Think places like renowned cafes, pizzerias, gelato shops, shopping places, wine windows, rooftop bars, wine bars, etc. Anything casual that might be fun to visit quickly while attending to a larger agenda. Can you come up with at least three (but preferably more) recommendations for each?</t>
  </si>
  <si>
    <t>Chiaia</t>
  </si>
  <si>
    <t>My girlfriend (29F) and I (33M) are staying a night or two in the Chiaia region of Naples before leaving to Capri for a few days. We are from NYC and like good food, good drinks, romantic scenery, exploring, and adventure. Can you recommend some hotels in the ~$200 to ~$400 USD range that are nice to stay in for dates 8/28 to 8/30? Can you also compile a list of good restaurants (pref a few on the water and a few inland that stand on their own merit), cool bars, cool cafes, cool rooftops for drinks, gelato spots, pizza spots, nightlife, and anything else that is a cool cultural experience for the area (or immediately adjacent) that we can explore while waiting to go to Capri? Think recommendations that would be suitable for theinfatuation.com, eater.com, or a well-regarded and chic travel blog or Instagram account.</t>
  </si>
  <si>
    <t>Maps 2</t>
  </si>
  <si>
    <t>Name</t>
  </si>
  <si>
    <t>Region</t>
  </si>
  <si>
    <t>Type</t>
  </si>
  <si>
    <t>Emoji</t>
  </si>
  <si>
    <t>Description</t>
  </si>
  <si>
    <t>Special Notes</t>
  </si>
  <si>
    <t>Hours</t>
  </si>
  <si>
    <t>Cost Range</t>
  </si>
  <si>
    <t>Address</t>
  </si>
  <si>
    <t>LatLong</t>
  </si>
  <si>
    <t>Latitude</t>
  </si>
  <si>
    <t>Longitude</t>
  </si>
  <si>
    <t>Google Maps</t>
  </si>
  <si>
    <t>Recommended By</t>
  </si>
  <si>
    <t>Plan</t>
  </si>
  <si>
    <t>Trip Segment</t>
  </si>
  <si>
    <t>Walking Distance</t>
  </si>
  <si>
    <t>Driving Distance</t>
  </si>
  <si>
    <t>Curated</t>
  </si>
  <si>
    <t>Buonocore Gelateria &amp; Bakery</t>
  </si>
  <si>
    <t>Capri town</t>
  </si>
  <si>
    <t>Bakery / Gelateria / Cafe</t>
  </si>
  <si>
    <t>🍦</t>
  </si>
  <si>
    <t>Famous bakery and gelateria with fresh panini, focaccia, and pastries. Very popular with locals and tourists alike.</t>
  </si>
  <si>
    <t>Smell the waffle cones to find it. Great for takeaway. Try the lemon granita or focaccia.</t>
  </si>
  <si>
    <t>10:00–23:00</t>
  </si>
  <si>
    <t>$10–$25</t>
  </si>
  <si>
    <t>Via Vittorio Emanuele, 35, 80073 Capri NA, Italy</t>
  </si>
  <si>
    <t>40.5504793, 14.2435663</t>
  </si>
  <si>
    <t>https://www.google.com/maps/search/Buonocore%20Gelateria%20%26%20Bakery%2C%20Capri%2C%20Italy</t>
  </si>
  <si>
    <t>ChatGPT</t>
  </si>
  <si>
    <t>ChatGPT Capri Boat Day Wine Shops and Bakeries</t>
  </si>
  <si>
    <t>Ristorante Lo Sfizio</t>
  </si>
  <si>
    <t>Capri (Via Tiberio)</t>
  </si>
  <si>
    <t>Casual Eatery / Bakery</t>
  </si>
  <si>
    <t>🥪</t>
  </si>
  <si>
    <t>Local favorite for rustic sandwiches, pizza by the slice, and simple, hearty baked goods.</t>
  </si>
  <si>
    <t>Perfect for takeaway or a quick bite. Affordable and local vibe.</t>
  </si>
  <si>
    <t>12:00–15:00, 19:00–23:00 (closed Tuesdays)</t>
  </si>
  <si>
    <t>$20–$40</t>
  </si>
  <si>
    <t>Via Tiberio, 7/e, 80073 Capri NA, Italy</t>
  </si>
  <si>
    <t>40.552373, 14.250934</t>
  </si>
  <si>
    <t>https://www.google.com/maps/search/Ristorante%20Lo%20Sfizio%2C%20Capri%2C%20Italy</t>
  </si>
  <si>
    <t>Capri</t>
  </si>
  <si>
    <t>La Residenza</t>
  </si>
  <si>
    <t>Caffè Caso</t>
  </si>
  <si>
    <t>Cafe</t>
  </si>
  <si>
    <t>☕</t>
  </si>
  <si>
    <t>Charming sidewalk café with espresso, croissants, and light snacks.</t>
  </si>
  <si>
    <t>Good for a quick stop before heading to the marina. Get the cornetto al limone.</t>
  </si>
  <si>
    <t>07:30–21:00</t>
  </si>
  <si>
    <t>$10–$20</t>
  </si>
  <si>
    <t>Piazza Umberto I, 4, 80073 Capri NA, Italy</t>
  </si>
  <si>
    <t>40.5508286, 14.2427963</t>
  </si>
  <si>
    <t>https://www.google.com/maps/search/Caff%C3%A8%20Caso%2C%20Capri%2C%20Italy</t>
  </si>
  <si>
    <t>Naples</t>
  </si>
  <si>
    <t>Panificio Fornaretto</t>
  </si>
  <si>
    <t>Bakery</t>
  </si>
  <si>
    <t>🍞</t>
  </si>
  <si>
    <t>Rustic neighborhood bakery specializing in fresh bread, pizza bianca, and taralli.</t>
  </si>
  <si>
    <t>No frills but great for boat snacks and local baked goods.</t>
  </si>
  <si>
    <t>07:00–14:00, 17:00–20:00</t>
  </si>
  <si>
    <t>Via Trieste e Trento, 20, 80071 Anacapri NA, Italy</t>
  </si>
  <si>
    <t>40.55462790000001, 14.2168974</t>
  </si>
  <si>
    <t>https://www.google.com/maps/search/Panificio%20Fornaretto%2C%20Capri%2C%20Italy</t>
  </si>
  <si>
    <t>Marina Grande</t>
  </si>
  <si>
    <t>Ravello</t>
  </si>
  <si>
    <t>Hotel Rufolo</t>
  </si>
  <si>
    <t>Enoteca Truglio</t>
  </si>
  <si>
    <t>Wine Shop</t>
  </si>
  <si>
    <t>🍷</t>
  </si>
  <si>
    <t>Local wine shop offering a curated selection of Campania wines, prosecco, and local snacks.</t>
  </si>
  <si>
    <t>Staff can recommend wine for boat days. Ask for Falanghina or Biancolella.</t>
  </si>
  <si>
    <t>09:00–13:00, 16:30–20:00</t>
  </si>
  <si>
    <t>$20–$60</t>
  </si>
  <si>
    <t>80076 Capri, Metropolitan City of Naples, Italy</t>
  </si>
  <si>
    <t>40.5542182, 14.2400251</t>
  </si>
  <si>
    <t>https://www.google.com/maps/search/Enoteca%20Truglio%2C%20Capri%2C%20Italy</t>
  </si>
  <si>
    <t>Matermania/Arco Naturale</t>
  </si>
  <si>
    <t>Enoteca La Vineria</t>
  </si>
  <si>
    <t>🥂</t>
  </si>
  <si>
    <t>Upscale wine shop near the Piazzetta with excellent white wines, prosecco, and picnic-ready options.</t>
  </si>
  <si>
    <t>Offers chilled bottles. Great for romantic boat provisioning.</t>
  </si>
  <si>
    <t>10:00–13:00, 16:00–20:00</t>
  </si>
  <si>
    <t>$30–$80</t>
  </si>
  <si>
    <t>Via Gino Alfani, 39, 80058 Torre Annunziata NA, Italy</t>
  </si>
  <si>
    <t>40.5507259, 14.2429</t>
  </si>
  <si>
    <t>https://www.google.com/maps/search/Enoteca%20La%20Vineria%2C%20Capri%2C%20Italy</t>
  </si>
  <si>
    <t>Da Giorgio</t>
  </si>
  <si>
    <t>Capri Town</t>
  </si>
  <si>
    <t>Restaurant (Lunch/Dinner)</t>
  </si>
  <si>
    <t>🍽️</t>
  </si>
  <si>
    <t>Reddit favorite with amazing view of Capri harbor, Mount Vesuvius, and the coast. Decades of delicious dishes, excellent seafood delicacies</t>
  </si>
  <si>
    <t>Recommended by local hotel owners, 7-minute taxi from Marina Grande, stunning Bay of Naples views</t>
  </si>
  <si>
    <t>12:00 PM - 3:00 PM &amp; 7:00 PM - 11:00 PM</t>
  </si>
  <si>
    <t>$80-120 USD for 2</t>
  </si>
  <si>
    <t>Via Roma, 34, 80076 Capri NA, Italy</t>
  </si>
  <si>
    <t>40.55018400000001, 14.241639</t>
  </si>
  <si>
    <t>https://www.google.com/maps/search/Da%20Giorgio%2C%20Capri%2C%20Italy</t>
  </si>
  <si>
    <t>Manus</t>
  </si>
  <si>
    <t>Manus Capri Restaurants</t>
  </si>
  <si>
    <t>Aurora</t>
  </si>
  <si>
    <t>Restaurant (Dinner)</t>
  </si>
  <si>
    <t>Historic gastronomic museum with fun loud singalong atmosphere. Truffle pizzas, delicate pastas, classic seafood dishes. Oldest restaurant in Capri</t>
  </si>
  <si>
    <t>Must try the cataloni dish, lively metro vibe, walls adorned with photographs, more than a restaurant</t>
  </si>
  <si>
    <t>7:00 PM - 11:30 PM</t>
  </si>
  <si>
    <t>$90-140 USD for 2</t>
  </si>
  <si>
    <t>Via Fuorlovado, 18, 80073 Capri NA, Italy</t>
  </si>
  <si>
    <t>40.550878, 14.2450572</t>
  </si>
  <si>
    <t>https://www.google.com/maps/search/Aurora%2C%20Capri%2C%20Italy</t>
  </si>
  <si>
    <t>Da Gemma</t>
  </si>
  <si>
    <t>#1 rated restaurant on TripAdvisor with 4.7/5 rating from 1,513 reviews. Seafood and Mediterranean cuisine, homemade pasta</t>
  </si>
  <si>
    <t>Consistently highest-rated, family-owned, reliable excellence, proven track record</t>
  </si>
  <si>
    <t>$70-110 USD for 2</t>
  </si>
  <si>
    <t>Via Cristoforo Colombo, 7, 80073 Capri NA, Italy</t>
  </si>
  <si>
    <t>40.5562249, 14.2388268</t>
  </si>
  <si>
    <t>https://www.google.com/maps/search/Da%20Gemma%2C%20Capri%2C%20Italy</t>
  </si>
  <si>
    <t>Wine Experience, Ravello</t>
  </si>
  <si>
    <t>Le Grottelle</t>
  </si>
  <si>
    <t>Hidden gem nestled inside natural caves near Arco Naturale. Dining experience like no other, 20-minute walk from main tourist hub</t>
  </si>
  <si>
    <t>Special occasion dinner, unique cave dining experience, off the beaten path, advance reservations essential</t>
  </si>
  <si>
    <t>7:00 PM - 11:00 PM</t>
  </si>
  <si>
    <t>$100-150 USD for 2</t>
  </si>
  <si>
    <t>Via Arco Naturale, 13, 80073 Capri NA, Italy</t>
  </si>
  <si>
    <t>40.5494786, 14.2541823</t>
  </si>
  <si>
    <t>https://www.google.com/maps/search/Le%20Grottelle%2C%20Capri%2C%20Italy</t>
  </si>
  <si>
    <t>Villa Verde</t>
  </si>
  <si>
    <t>White table-clothed restaurant in old town great for big groups. Combines dinner with nightlife, beautiful outdoor patio dining</t>
  </si>
  <si>
    <t>Great for groups, evening entertainment with dinner, away from crowds, lively evening scene</t>
  </si>
  <si>
    <t>7:00 PM - 12:00 AM</t>
  </si>
  <si>
    <t>$90-130 USD for 2</t>
  </si>
  <si>
    <t>Via Sella Orta, 6, 80073 Capri NA, Italy</t>
  </si>
  <si>
    <t>40.55006849999999, 14.2445107</t>
  </si>
  <si>
    <t>https://www.google.com/maps/search/Villa%20Verde%2C%20Capri%2C%20Italy</t>
  </si>
  <si>
    <t>Lunch: selected by Chelsea</t>
  </si>
  <si>
    <t>Conca dei Marini</t>
  </si>
  <si>
    <t>Lo Smeraldo</t>
  </si>
  <si>
    <t>Family-owned seaside restaurant with patio overlooking the water. Amazing coastline views, fresh seafood specialties</t>
  </si>
  <si>
    <t>Unbeatable seaside dining, patio over the water, romantic seafood dinner with water views</t>
  </si>
  <si>
    <t>12:00 PM - 3:00 PM &amp; 7:00 PM - 10:30 PM</t>
  </si>
  <si>
    <t>Piazza Vittoria, 1, 80073 Capri NA, Italy</t>
  </si>
  <si>
    <t>40.5504764, 14.243448</t>
  </si>
  <si>
    <t>https://www.google.com/maps/search/Lo%20Smeraldo%2C%20Capri%2C%20Italy</t>
  </si>
  <si>
    <t>Monastero Santa Rosa</t>
  </si>
  <si>
    <t>Pescheria Le Botteghe</t>
  </si>
  <si>
    <t>Restaurant (Lunch)</t>
  </si>
  <si>
    <t>Fish market that also serves incredibly fresh seafood. Buy fresh fish and have it prepared on-site, market-to-table concept</t>
  </si>
  <si>
    <t>Freshest possible seafood, authentic local experience, not touristy, ultimate freshness for seafood lovers</t>
  </si>
  <si>
    <t>10:00 AM - 3:00 PM</t>
  </si>
  <si>
    <t>$60-90 USD for 2</t>
  </si>
  <si>
    <t>Via le Botteghe, 19, 80076 Capri NA, Italy</t>
  </si>
  <si>
    <t>40.550782, 14.2433042</t>
  </si>
  <si>
    <t>https://www.google.com/maps/search/Pescheria%20Le%20Botteghe%2C%20Capri%2C%20Italy</t>
  </si>
  <si>
    <t>Lo Sfizio</t>
  </si>
  <si>
    <t>Local favorite mentioned in food tours, authentic neighborhood spot. Traditional Italian dishes with good value</t>
  </si>
  <si>
    <t>Casual authentic meal, frequented by locals, less touristy atmosphere, good value dining</t>
  </si>
  <si>
    <t>$50-80 USD for 2</t>
  </si>
  <si>
    <t>https://www.google.com/maps/search/Lo%20Sfizio%2C%20Capri%2C%20Italy</t>
  </si>
  <si>
    <t>Lunch: Chelsea said looks good for pizza, as ChaptGPT recommended</t>
  </si>
  <si>
    <t>Ristorante Pulalli</t>
  </si>
  <si>
    <t>Traditional Capri cuisine with well-executed classics. Established restaurant with reliable quality</t>
  </si>
  <si>
    <t>Solid reputation among travel guides, traditional Capri dining, reliable choice</t>
  </si>
  <si>
    <t>$70-100 USD for 2</t>
  </si>
  <si>
    <t>https://www.google.com/maps/search/Ristorante%20Pulalli%2C%20Capri%2C%20Italy</t>
  </si>
  <si>
    <t>Dinner: Reserved</t>
  </si>
  <si>
    <t>Amalfi</t>
  </si>
  <si>
    <t>Gennaro Amitrano</t>
  </si>
  <si>
    <t>Family-run establishment with authentic Italian family hospitality. Home-style cooking with traditional recipes</t>
  </si>
  <si>
    <t>Personal service, family atmosphere, authentic family dining experience</t>
  </si>
  <si>
    <t>7:00 PM - 10:30 PM</t>
  </si>
  <si>
    <t>Via Marina Piccola, 120, 80073 Capri NA, Italy</t>
  </si>
  <si>
    <t>40.545691, 14.2355518</t>
  </si>
  <si>
    <t>https://www.google.com/maps/search/Gennaro%20Amitrano%2C%20Capri%2C%20Italy</t>
  </si>
  <si>
    <t>Amalfi Coast</t>
  </si>
  <si>
    <t>Ziqù Restaurant</t>
  </si>
  <si>
    <t>Highest rated restaurant with 4.9/5 from 269 reviews. Italian and seafood cuisine, exceptional quality</t>
  </si>
  <si>
    <t>Limited reviews suggest exclusivity, highest rating on TripAdvisor, exceptional quality</t>
  </si>
  <si>
    <t>$150-200+ USD for 2</t>
  </si>
  <si>
    <t>Via Marina Grande, 191, 80073 Capri NA, Italy</t>
  </si>
  <si>
    <t>40.55633, 14.2361122</t>
  </si>
  <si>
    <t>https://www.google.com/maps/search/Ziq%C3%B9%20Restaurant%2C%20Capri%2C%20Italy</t>
  </si>
  <si>
    <t>Furore</t>
  </si>
  <si>
    <t>Da Tonino</t>
  </si>
  <si>
    <t>Established local favorite with 1,304 reviews. Consistently good quality, dependable dining option</t>
  </si>
  <si>
    <t>Reliable choice, established reputation, consistent quality</t>
  </si>
  <si>
    <t>Via Dentecale, 14, 80073 Capri NA, Italy</t>
  </si>
  <si>
    <t>40.5497881, 14.2450745</t>
  </si>
  <si>
    <t>https://www.google.com/maps/search/Da%20Tonino%2C%20Capri%2C%20Italy</t>
  </si>
  <si>
    <t>Bomerano (start) to Nocelle (end)</t>
  </si>
  <si>
    <t>Artemisia Domus (Naples)</t>
  </si>
  <si>
    <t>🏨</t>
  </si>
  <si>
    <t>Boutique hotel in central Naples with elegant design and great breakfast.</t>
  </si>
  <si>
    <t>Boutique B&amp;B with stylish rooms; complimentary breakfast and pre-arrival concierge.</t>
  </si>
  <si>
    <t>24/7 (hotel)</t>
  </si>
  <si>
    <t>$900 for two</t>
  </si>
  <si>
    <t>Via dei Carrozzieri a Monteoliveto 13, 80134 Napoli, Italy</t>
  </si>
  <si>
    <t>40.845634, 14.2517054</t>
  </si>
  <si>
    <t>ChatGPT - https://chatgpt.com/c/6846f0da-7884-8009-ad13-dba01dfa021d</t>
  </si>
  <si>
    <t>ChatGPT Itinerary 1</t>
  </si>
  <si>
    <t>Praiano-Positano</t>
  </si>
  <si>
    <t>The Britannique by Hilton (Naples)</t>
  </si>
  <si>
    <t>Modern hotel in Naples with panoramic rooftop bar and sea views.</t>
  </si>
  <si>
    <t>Modern hotel with rooftop bar &amp; spa; reserve for sunset cocktails.</t>
  </si>
  <si>
    <t>$500 for two</t>
  </si>
  <si>
    <t>C.so Vittorio Emanuele, 133, 80121 Napoli NA, Italy</t>
  </si>
  <si>
    <t>40.836915, 14.2296809</t>
  </si>
  <si>
    <t>Montepertuso (above Positano)</t>
  </si>
  <si>
    <t>Gino Sorbillo (Naples)</t>
  </si>
  <si>
    <t>Restaurant</t>
  </si>
  <si>
    <t>🍕</t>
  </si>
  <si>
    <t>One of Naples’ most iconic pizzerias in the historic center.</t>
  </si>
  <si>
    <t>Famous Neapolitan pizza, long lines – best to arrive just before opening; try their pineapple pizza.</t>
  </si>
  <si>
    <t>Mon–Sat 12:00–15:30 &amp; 19:00–23:30; Sun closed (fontelina-capri.com, happycow.net, perplexity.ai, tripadvisor.com)</t>
  </si>
  <si>
    <t>$70 for two</t>
  </si>
  <si>
    <t>Via dei Tribunali 32, 80138 Napoli, Italy</t>
  </si>
  <si>
    <t>40.850421, 14.2553143</t>
  </si>
  <si>
    <t>L’Antica Pizzeria da Michele (Naples)</t>
  </si>
  <si>
    <t>Historic, no-frills spot for some of Naples’ best traditional pizza.</t>
  </si>
  <si>
    <t>Historic classic; very simple menu (Margherita/Marinara only).</t>
  </si>
  <si>
    <t>Typically 11:00–23:00, often closes Mon (confirm)</t>
  </si>
  <si>
    <t>Via Cesare Sersale 1, 80139 Napoli</t>
  </si>
  <si>
    <t>40.8497752, 14.2632371</t>
  </si>
  <si>
    <t>Gay‑Odin (Naples)</t>
  </si>
  <si>
    <t>Shop</t>
  </si>
  <si>
    <t>Artisanal chocolate shop famous for its gelato and heritage sweets.</t>
  </si>
  <si>
    <t>Artisanal chocolates &amp; gelato; great for gifting or a quick treat.</t>
  </si>
  <si>
    <t>10:00–20:00 daily</t>
  </si>
  <si>
    <t>$60 for two</t>
  </si>
  <si>
    <t>Via San Biagio dei Librai 44, 80138 Napoli</t>
  </si>
  <si>
    <t>40.84968560000001, 14.2589603</t>
  </si>
  <si>
    <t>Hotel Villa Brunella (Capri)</t>
  </si>
  <si>
    <t>Romantic and quiet boutique hotel with stunning terrace views.</t>
  </si>
  <si>
    <t>Terrace views over Marina Piccola; request sea-view rooms and private shuttle to Capri town.</t>
  </si>
  <si>
    <t>80073, Via Tragara, 24a, 80073 Capri NA, Italy</t>
  </si>
  <si>
    <t>40.5461439, 14.2495769</t>
  </si>
  <si>
    <t>JK Place Capri (Capri)</t>
  </si>
  <si>
    <t>Luxury waterfront hotel near Marina Grande with impeccable service.</t>
  </si>
  <si>
    <t>Luxury beachfront hotel; ideal for romantic dinners by the sea.</t>
  </si>
  <si>
    <t>Via Roma 71, 80073 Capri NA, Italy</t>
  </si>
  <si>
    <t>40.54987939999999, 14.2401657</t>
  </si>
  <si>
    <t>Beach Club</t>
  </si>
  <si>
    <t>⛱️</t>
  </si>
  <si>
    <t>Iconic beach club near Faraglioni rocks with chic loungers and fresh seafood.</t>
  </si>
  <si>
    <t>Lunch-only in summer; €190 p.p. min. spend in high season; shuttle boat returns 15:00–18:30.</t>
  </si>
  <si>
    <t>Beach: 9:00–19:00; Restaurant: 12:30–16:00 daily</t>
  </si>
  <si>
    <t>$200 for two</t>
  </si>
  <si>
    <t>Località Faraglioni, 80073 Capri NA, Italy</t>
  </si>
  <si>
    <t>40.5434303, 14.2523999</t>
  </si>
  <si>
    <t>Da Gelsomina (Capri)</t>
  </si>
  <si>
    <t>Charming vineyard-side restaurant in Anacapri with local dishes and wine.</t>
  </si>
  <si>
    <t>Hilltop Anacapri vineyard spot; dress smart-casual.</t>
  </si>
  <si>
    <t>~12:00–15:00 &amp; 19:00–22:00</t>
  </si>
  <si>
    <t>$100 for two</t>
  </si>
  <si>
    <t>Via Migliara, 72, 80071 Anacapri NA, Italy</t>
  </si>
  <si>
    <t>40.5409493, 14.2102105</t>
  </si>
  <si>
    <t>Belmond Hotel Caruso (Ravello)</t>
  </si>
  <si>
    <t>Historic palace hotel with an infinity pool overlooking the Amalfi Coast.</t>
  </si>
  <si>
    <t>Iconic infinity pool; spa and morning yoga available.</t>
  </si>
  <si>
    <t>Hotel: 24/7; Pool: 08:00–19:00</t>
  </si>
  <si>
    <t>Piazza San Giovanni del Toro 2, 84010 Ravello (SA), Italy</t>
  </si>
  <si>
    <t>40.6514101, 14.6129723</t>
  </si>
  <si>
    <t>Villa Maria Ravello</t>
  </si>
  <si>
    <t>Peaceful hotel with garden terraces and a focus on local cuisine.</t>
  </si>
  <si>
    <t>Quiet boutique hotel; known for homegrown lemon-themed dishes.</t>
  </si>
  <si>
    <t>24/7 (hotel); breakfast until ~10:30</t>
  </si>
  <si>
    <t>$3000 for two</t>
  </si>
  <si>
    <t>Via Santa Chiara, 2, 84010 Ravello SA, Italy</t>
  </si>
  <si>
    <t>40.6468104, 14.6103006</t>
  </si>
  <si>
    <t>Villa Rufolo (Ravello)</t>
  </si>
  <si>
    <t>Attraction</t>
  </si>
  <si>
    <t>🏛️</t>
  </si>
  <si>
    <t>Historic villa and gardens with panoramic views and concerts.</t>
  </si>
  <si>
    <t>Historic gardens with panoramic terrace; host of summer music festivals.</t>
  </si>
  <si>
    <t>Gardens: ~09:00–19:00</t>
  </si>
  <si>
    <t>$120 for two</t>
  </si>
  <si>
    <t>Piazza Duomo, 84010 Ravello (SA), Italy</t>
  </si>
  <si>
    <t>40.6491825, 14.6116481</t>
  </si>
  <si>
    <t>Wagner Tours (Wine Experience, Ravello)</t>
  </si>
  <si>
    <t>Wine Tour</t>
  </si>
  <si>
    <t>🍇</t>
  </si>
  <si>
    <t>Guided wine experiences and tastings in Ravello.</t>
  </si>
  <si>
    <t>Boutique, garden-based tastings; reserve in advance.</t>
  </si>
  <si>
    <t>Wine tastings by appointment (~11:00–17:00)</t>
  </si>
  <si>
    <t>Via del Santuario, 84010 Ravello SA, Italy</t>
  </si>
  <si>
    <t>40.6515802, 14.6140606</t>
  </si>
  <si>
    <t>Rossellinis at Palazzo Avino (Ravello)</t>
  </si>
  <si>
    <t>Michelin-starred restaurant with romantic cliffside dining.</t>
  </si>
  <si>
    <t>1-Michelin star; dress upscale; Chef’s &amp; Sommelier’s Tables available.</t>
  </si>
  <si>
    <t>Lunch: 12:30–17:00; Dinner: 18:30–22:30; closed Nov–Mar</t>
  </si>
  <si>
    <t>$400 for two</t>
  </si>
  <si>
    <t>Via San Giovanni del Toro, 84010 Ravello SA, Italy</t>
  </si>
  <si>
    <t>40.6504913, 14.6129035</t>
  </si>
  <si>
    <t>Casa Angelina (Praiano)</t>
  </si>
  <si>
    <t>Minimalist, adults-only luxury hotel with modern art and sea views.</t>
  </si>
  <si>
    <t>Adults-only, minimalist luxury; great for spa days and rooftop cocktails.</t>
  </si>
  <si>
    <t>Hotel: 24/7; Pool: ~08:00–19:00</t>
  </si>
  <si>
    <t>$5000 for two</t>
  </si>
  <si>
    <t>Piazza Antiche Mura, 22, 84010 Praiano SA, Italy</t>
  </si>
  <si>
    <t>40.6117319, 14.5335099</t>
  </si>
  <si>
    <t>Monastero Santa Rosa Hotel (Conca dei Marini)</t>
  </si>
  <si>
    <t>5-star cliffside monastery-turned-hotel with a world-class spa.</t>
  </si>
  <si>
    <t>Ex-monastery with cliffside spa; Il Refettorio located onsite.</t>
  </si>
  <si>
    <t>Hotel: 24/7; Spa &amp; pool open ~09:00–19:00</t>
  </si>
  <si>
    <t>Via Krupp, 11, 84010 Conca dei Marini SA, Italy</t>
  </si>
  <si>
    <t>40.6163236, 14.5753912</t>
  </si>
  <si>
    <t>One Fire Beach Club (Praiano)</t>
  </si>
  <si>
    <t>Laid-back beach club known for music, fire shows, and chill vibes.</t>
  </si>
  <si>
    <t>Casual beach club with fire shows &amp; DJ sets; bring cash.</t>
  </si>
  <si>
    <t>~09:00–18:00</t>
  </si>
  <si>
    <t>Marina di Praia, 84017 Praiano SA, Italy</t>
  </si>
  <si>
    <t>40.6134729, 14.5394424</t>
  </si>
  <si>
    <t>Lido degli Artisti (Praiano)</t>
  </si>
  <si>
    <t>Cozy beach with sunbeds and a dramatic cliff backdrop.</t>
  </si>
  <si>
    <t>Cliffside sunbeds for rent; small snack kiosk; relaxed vibe.</t>
  </si>
  <si>
    <t>Località La Gavitella, 84017 Praiano SA, Italy</t>
  </si>
  <si>
    <t>40.6138362, 14.5204525</t>
  </si>
  <si>
    <t>Il Refettorio (Monastero Santa Rosa)</t>
  </si>
  <si>
    <t>Michelin-starred dining within the Monastero Santa Rosa Hotel.</t>
  </si>
  <si>
    <t>Michelin-starred in monastery; dress smart-casual, reservations required.</t>
  </si>
  <si>
    <t>Dinner only, ~19:00–22:00</t>
  </si>
  <si>
    <t>Kasai (Praiano)</t>
  </si>
  <si>
    <t>🍝</t>
  </si>
  <si>
    <t>Locally loved spot with fresh seafood and sunset views.</t>
  </si>
  <si>
    <t>Fresh seafood &amp; sushi fusion; sunset tables book fast.</t>
  </si>
  <si>
    <t>$2000 for two</t>
  </si>
  <si>
    <t>Via G. Capriglione, 2, 84017 Praiano SA, Italy</t>
  </si>
  <si>
    <t>40.6087328, 14.5268626</t>
  </si>
  <si>
    <t>Cooking Class</t>
  </si>
  <si>
    <t>👩‍🍳</t>
  </si>
  <si>
    <t>Rustic, family-run restaurant offering fun and hearty cooking classes.</t>
  </si>
  <si>
    <t>Rustic family meal &amp; cooking class; farm-fresh ingredients; open-air terrace.</t>
  </si>
  <si>
    <t>Lunch &amp; Dinner (check seasonally)</t>
  </si>
  <si>
    <t>$150 for two</t>
  </si>
  <si>
    <t>Via Tagliata, 1, 84017 Positano SA, Italy</t>
  </si>
  <si>
    <t>40.6332256, 14.4930882</t>
  </si>
  <si>
    <t>Mamma Agata (Ravello)</t>
  </si>
  <si>
    <t>Charming home-based cooking school with sea views and legendary hosts.</t>
  </si>
  <si>
    <t>Home-style cooking in a villa garden; traditional Amalfi recipes.</t>
  </si>
  <si>
    <t>Lunch only (~12:00–14:30); closed Sun &amp; Mon</t>
  </si>
  <si>
    <t>Via San Francesco, 24, 84010 Ravello SA, Italy</t>
  </si>
  <si>
    <t>40.6484534, 14.6118254</t>
  </si>
  <si>
    <t>Franco’s Bar (Positano)</t>
  </si>
  <si>
    <t>Bar</t>
  </si>
  <si>
    <t>🍹</t>
  </si>
  <si>
    <t>Trendy cocktail bar with jaw-dropping sunset views.</t>
  </si>
  <si>
    <t>Sunset cocktails with panoramic views; arrive early for best seats.</t>
  </si>
  <si>
    <t>~16:00–00:00</t>
  </si>
  <si>
    <t>Via Pasitea, 300, 84017 Positano SA, Italy</t>
  </si>
  <si>
    <t>40.6287893, 14.4815807</t>
  </si>
  <si>
    <t>Dramatic sea cave restaurant serving fresh Mediterranean dishes.</t>
  </si>
  <si>
    <t>Dining in a seaside grotto; perfect at golden hour; reserve ahead.</t>
  </si>
  <si>
    <t>Lunch: 12:00–15:00; Dinner: 19:00–22:30</t>
  </si>
  <si>
    <t>Via Marina di Praia, 2, 84017 Praiano SA, Italy</t>
  </si>
  <si>
    <t>40.6142489, 14.5392983</t>
  </si>
  <si>
    <t>Romeo Hotel Naples</t>
  </si>
  <si>
    <t>Luxury waterfront hotel with Michelin-starred dining, panoramic views of Bay of Naples and Vesuvius, modern design with sophisticated atmosphere</t>
  </si>
  <si>
    <t>Perfect for arrival/departure convenience, has Michelin dining on-site</t>
  </si>
  <si>
    <t>Check-in: 3:00 PM, Check-out: 11:00 AM</t>
  </si>
  <si>
    <t>Via Cristoforo Colombo, 45, 80133 Napoli NA, Italy</t>
  </si>
  <si>
    <t>40.8403661, 14.2558654</t>
  </si>
  <si>
    <t>Manus - https://manus.im/app/KJC6Ixn9ZFEgpriWR1GDzd</t>
  </si>
  <si>
    <t>Manus Itinerary 1</t>
  </si>
  <si>
    <t>Spaccanapoli</t>
  </si>
  <si>
    <t>Historic Street</t>
  </si>
  <si>
    <t>Ancient Roman road cutting through Naples historic center, UNESCO World Heritage site</t>
  </si>
  <si>
    <t>Walk the entire length for authentic Naples experience</t>
  </si>
  <si>
    <t>Always open</t>
  </si>
  <si>
    <t>Naples, Metropolitan City of Naples, Italy</t>
  </si>
  <si>
    <t>40.8517746, 14.2681244</t>
  </si>
  <si>
    <t>Naples Cathedral (Duomo)</t>
  </si>
  <si>
    <t>Cathedral</t>
  </si>
  <si>
    <t>⛪</t>
  </si>
  <si>
    <t>Historic cathedral with San Gennaro chapel, beautiful architecture</t>
  </si>
  <si>
    <t>Free entry, dress modestly</t>
  </si>
  <si>
    <t>8:00 AM - 12:30 PM, 4:30 PM - 7:00 PM</t>
  </si>
  <si>
    <t>Vico Sedil Capuano, 48, 80138 Napoli NA, Italy</t>
  </si>
  <si>
    <t>40.8531893, 14.2603334</t>
  </si>
  <si>
    <t>San Gregorio Armeno</t>
  </si>
  <si>
    <t>Artisan Street</t>
  </si>
  <si>
    <t>🎨</t>
  </si>
  <si>
    <t>Christmas artisan street with traditional Neapolitan nativity scenes</t>
  </si>
  <si>
    <t>Famous for handmade nativity figures year-round</t>
  </si>
  <si>
    <t>9:00 AM - 7:00 PM</t>
  </si>
  <si>
    <t>Via S. Gregorio Armeno, 80138 Napoli NA, Italy</t>
  </si>
  <si>
    <t>40.8500804, 14.2578099</t>
  </si>
  <si>
    <t>Piazza del Gesù Nuovo</t>
  </si>
  <si>
    <t>Historic Square</t>
  </si>
  <si>
    <t>Beautiful baroque square with historic churches</t>
  </si>
  <si>
    <t>Great for people watching and photos</t>
  </si>
  <si>
    <t>Piazza del Gesù Nuovo, 80134 Napoli NA, Italy</t>
  </si>
  <si>
    <t>40.8469688, 14.2517718</t>
  </si>
  <si>
    <t>La Locanda Gesù Vecchio</t>
  </si>
  <si>
    <t>Family-run trattoria near Piazza del Gesù, rustic yet refined atmosphere, warm hospitality</t>
  </si>
  <si>
    <t>Must-try: Paccheri al ragù napoletano, owner brings complimentary wine, feels like dining in someone's home</t>
  </si>
  <si>
    <t>Dinner: 7:00 PM - 11:00 PM</t>
  </si>
  <si>
    <t>Via Giovanni Paladino, 26, 80138 Napoli NA, Italy</t>
  </si>
  <si>
    <t>40.8472376, 14.2571481</t>
  </si>
  <si>
    <t>Palazzo Petrucci</t>
  </si>
  <si>
    <t>Fine Dining Restaurant</t>
  </si>
  <si>
    <t>Posillipo location with Gulf of Naples views, modern Italian cuisine with dramatic presentation</t>
  </si>
  <si>
    <t>Sea urchin risotto served in spiny shell, fine dining alternative</t>
  </si>
  <si>
    <t>Dinner: 7:30 PM - 11:00 PM</t>
  </si>
  <si>
    <t>P.za S. Domenico Maggiore, 33, 80134 Napoli NA, Italy</t>
  </si>
  <si>
    <t>40.8483036, 14.254577</t>
  </si>
  <si>
    <t>Veritas</t>
  </si>
  <si>
    <t>⭐</t>
  </si>
  <si>
    <t>Cerebral, meticulous cuisine with multiple tasting menus, wine pairings from Campania producers</t>
  </si>
  <si>
    <t>Artistic presentation, book 2-4 weeks advance</t>
  </si>
  <si>
    <t>C.so Vittorio Emanuele, 141, 80121 Napoli NA, Italy</t>
  </si>
  <si>
    <t>40.8372389, 14.2313759</t>
  </si>
  <si>
    <t>Mimì alla Ferrovia</t>
  </si>
  <si>
    <t>Traditional Restaurant</t>
  </si>
  <si>
    <t>Operating since 1943, old-school Neapolitan elegance, classic atmosphere</t>
  </si>
  <si>
    <t>Classic ziti al ragù and parmigiana, traditional atmosphere</t>
  </si>
  <si>
    <t>Lunch &amp; Dinner</t>
  </si>
  <si>
    <t>Via Alfonso D'Aragona, 19/21, 80139 Napoli NA, Italy</t>
  </si>
  <si>
    <t>40.8535418, 14.2671748</t>
  </si>
  <si>
    <t>Caffè Gambrinus</t>
  </si>
  <si>
    <t>Historic Café</t>
  </si>
  <si>
    <t>Perfect for final Naples coffee before departure</t>
  </si>
  <si>
    <t>7:00 AM - 2:00 AM</t>
  </si>
  <si>
    <t>Via Chiaia, 1, 80132 Napoli NA, Italy</t>
  </si>
  <si>
    <t>40.8367945, 14.248479</t>
  </si>
  <si>
    <t>Scaturchio</t>
  </si>
  <si>
    <t>Pastry Shop</t>
  </si>
  <si>
    <t>🥐</t>
  </si>
  <si>
    <t>Famous pastry shop for traditional sfogliatelle</t>
  </si>
  <si>
    <t>Must-try: sfogliatelle, historic Naples institution</t>
  </si>
  <si>
    <t>7:30 AM - 8:30 PM</t>
  </si>
  <si>
    <t>P.za S. Domenico Maggiore, 19, 80134 Napoli NA, Italy</t>
  </si>
  <si>
    <t>40.8482509, 14.2549272</t>
  </si>
  <si>
    <t>National Archaeological Museum</t>
  </si>
  <si>
    <t>Museum</t>
  </si>
  <si>
    <t>Houses Pompeii artifacts and ancient Roman treasures</t>
  </si>
  <si>
    <t>€15 entrance, world-class Pompeii collection</t>
  </si>
  <si>
    <t>9:00 AM - 7:30 PM (closed Tuesdays)</t>
  </si>
  <si>
    <t>Piazza Museo, 19, 80135 Napoli NA, Italy</t>
  </si>
  <si>
    <t>40.8534745, 14.2512744</t>
  </si>
  <si>
    <t>Palazzo Reale</t>
  </si>
  <si>
    <t>Royal Palace</t>
  </si>
  <si>
    <t>👑</t>
  </si>
  <si>
    <t>Royal palace with gardens and historic rooms</t>
  </si>
  <si>
    <t>€4 entrance, beautiful royal apartments</t>
  </si>
  <si>
    <t>9:00 AM - 8:00 PM (closed Wednesdays)</t>
  </si>
  <si>
    <t>$250 for two</t>
  </si>
  <si>
    <t>Piazza del Plebiscito, 1, 80132 Napoli NA, Italy</t>
  </si>
  <si>
    <t>40.8369443, 14.2494124</t>
  </si>
  <si>
    <t>Castel dell'Ovo</t>
  </si>
  <si>
    <t>Seaside Castle</t>
  </si>
  <si>
    <t>🏰</t>
  </si>
  <si>
    <t>Seaside castle with panoramic views of Bay of Naples</t>
  </si>
  <si>
    <t>Free entry, great for sunset photos</t>
  </si>
  <si>
    <t>9:00 AM - 6:30 PM</t>
  </si>
  <si>
    <t>Via Eldorado, 3, 80132 Napoli NA, Italy</t>
  </si>
  <si>
    <t>40.8279173, 14.2484676</t>
  </si>
  <si>
    <t>Via Toledo</t>
  </si>
  <si>
    <t>Shopping Street</t>
  </si>
  <si>
    <t>🛍️</t>
  </si>
  <si>
    <t>Main shopping street with local and international brands</t>
  </si>
  <si>
    <t>Mix of shops and cafes, pedestrian-friendly</t>
  </si>
  <si>
    <t>9:00 AM - 8:00 PM</t>
  </si>
  <si>
    <t>Via Toledo, Napoli NA, Italy</t>
  </si>
  <si>
    <t>40.8428212, 14.248904</t>
  </si>
  <si>
    <t>Galleria Umberto I</t>
  </si>
  <si>
    <t>Shopping Gallery</t>
  </si>
  <si>
    <t>Beautiful 19th-century shopping gallery with glass dome</t>
  </si>
  <si>
    <t>Architectural beauty, upscale shopping</t>
  </si>
  <si>
    <t>Galleria Umberto I, 80132 Napoli NA, Italy</t>
  </si>
  <si>
    <t>40.8385287, 14.2494785</t>
  </si>
  <si>
    <t>Casa d'Anna ai Cristallini</t>
  </si>
  <si>
    <t>Boutique Hotel</t>
  </si>
  <si>
    <t>Intimate boutique hotel in historic center</t>
  </si>
  <si>
    <t>Alternative to Romeo Hotel, more intimate setting</t>
  </si>
  <si>
    <t>Check-in: 2:00 PM, Check-out: 11:00 AM</t>
  </si>
  <si>
    <t>Via dei Cristallini, 138, 80137 Napoli NA, Italy</t>
  </si>
  <si>
    <t>40.8575357, 14.2540213</t>
  </si>
  <si>
    <t>Naples Molo Beverello</t>
  </si>
  <si>
    <t>Ferry Port</t>
  </si>
  <si>
    <t>⛴️</t>
  </si>
  <si>
    <t>Main ferry terminal for departures to Capri and Amalfi Coast</t>
  </si>
  <si>
    <t>Arrive 30 minutes early, buy tickets in advance</t>
  </si>
  <si>
    <t>Ferries: 6:20 AM - 7:20 PM</t>
  </si>
  <si>
    <t>Molo Beverello, 80133 Napoli NA, Italy</t>
  </si>
  <si>
    <t>40.8382086, 14.2546268</t>
  </si>
  <si>
    <t>Naples International Airport (NAP)</t>
  </si>
  <si>
    <t>Airport</t>
  </si>
  <si>
    <t>✈️</t>
  </si>
  <si>
    <t>Main airport serving Naples and Amalfi Coast region</t>
  </si>
  <si>
    <t>30-40 minutes to city center by private transfer</t>
  </si>
  <si>
    <t>24 hours</t>
  </si>
  <si>
    <t>Naples International Airport (NAP), Viale F. Ruffo di Calabria, 80144 Napoli NA, Italy</t>
  </si>
  <si>
    <t>40.8846816, 14.2891552</t>
  </si>
  <si>
    <t>Hotel La Palma</t>
  </si>
  <si>
    <t>Luxury Hotel</t>
  </si>
  <si>
    <t>Newly opened 2023 Oetker Collection property, neoclassical design by Francis Sultana, revival of Capri's first hotel (built 1822)</t>
  </si>
  <si>
    <t>Opposite Dolce &amp; Gabbana, has Da Gioia beach club, celebrity atmosphere</t>
  </si>
  <si>
    <t>Via Vittorio Emanuele, 39, 80073 Capri NA, Italy</t>
  </si>
  <si>
    <t>40.5503664, 14.2436652</t>
  </si>
  <si>
    <t>Capri Marina Grande</t>
  </si>
  <si>
    <t>Main port for ferry arrivals and departures</t>
  </si>
  <si>
    <t>Take funicular to town center (5 minutes)</t>
  </si>
  <si>
    <t>Ferries: 6:30 AM - 7:50 PM</t>
  </si>
  <si>
    <t>80076 Marina Grande, Metropolitan City of Naples, Italy</t>
  </si>
  <si>
    <t>40.5533968, 14.2381784</t>
  </si>
  <si>
    <t>La Piazzetta</t>
  </si>
  <si>
    <t>Famous Square</t>
  </si>
  <si>
    <t>Famous central square, people-watching hub, celebrity spotting</t>
  </si>
  <si>
    <t>Classic Capri atmosphere, aperitivo bars</t>
  </si>
  <si>
    <t>Via Longano, 14, 80073 Capri NA, Italy</t>
  </si>
  <si>
    <t>40.551337, 14.2433926</t>
  </si>
  <si>
    <t>Via Camerelle</t>
  </si>
  <si>
    <t>Luxury Shopping Street</t>
  </si>
  <si>
    <t>Luxury shopping street with Hermès, Prada, Gucci</t>
  </si>
  <si>
    <t>Informal elegance dress code, flat sandals recommended</t>
  </si>
  <si>
    <t>10:00 AM - 8:00 PM</t>
  </si>
  <si>
    <t>Via Camerelle, 80076 Capri NA, Italy</t>
  </si>
  <si>
    <t>40.5498565, 14.2456523</t>
  </si>
  <si>
    <t>Gardens of Augustus</t>
  </si>
  <si>
    <t>Gardens</t>
  </si>
  <si>
    <t>🌺</t>
  </si>
  <si>
    <t>Panoramic gardens with views of Faraglioni rocks</t>
  </si>
  <si>
    <t>€1 entrance, best views of Faraglioni</t>
  </si>
  <si>
    <t>9:00 AM - 7:30 PM</t>
  </si>
  <si>
    <t>Gardens of Augustus, Via Matteotti, 2, 80076 Capri NA, Italy</t>
  </si>
  <si>
    <t>40.5473022, 14.243206</t>
  </si>
  <si>
    <t>Via Krupp</t>
  </si>
  <si>
    <t>Scenic Path</t>
  </si>
  <si>
    <t>🥾</t>
  </si>
  <si>
    <t>Scenic winding path with coastal views</t>
  </si>
  <si>
    <t>Often closed for safety, check before visiting</t>
  </si>
  <si>
    <t>Weather dependent</t>
  </si>
  <si>
    <t>Via Krupp, 80076 Capri NA, Italy</t>
  </si>
  <si>
    <t>40.5461187, 14.2380416</t>
  </si>
  <si>
    <t>Historic restaurant frequented by entertainment and fashion personalities, traditional Capri cuisine</t>
  </si>
  <si>
    <t>Museum-like atmosphere, celebrity spotting, perfect for first night</t>
  </si>
  <si>
    <t>Blue Grotto</t>
  </si>
  <si>
    <t>Sea Cave</t>
  </si>
  <si>
    <t>🌊</t>
  </si>
  <si>
    <t>Famous illuminated sea cave with electric blue waters</t>
  </si>
  <si>
    <t>€15 entrance + boat fees, weather dependent, can be crowded</t>
  </si>
  <si>
    <t>9:00 AM - 5:00 PM (weather dependent)</t>
  </si>
  <si>
    <t>Blue Grotto, 80071 Anacapri, Metropolitan City of Naples, Italy</t>
  </si>
  <si>
    <t>40.5609849, 14.2055931</t>
  </si>
  <si>
    <t>Faraglioni Rocks</t>
  </si>
  <si>
    <t>Natural Formation</t>
  </si>
  <si>
    <t>🗿</t>
  </si>
  <si>
    <t>Iconic limestone rock formations rising from the sea</t>
  </si>
  <si>
    <t>Best viewed from boat or Gardens of Augustus</t>
  </si>
  <si>
    <t>Always visible</t>
  </si>
  <si>
    <t>Green Grotto</t>
  </si>
  <si>
    <t>Less crowded alternative to Blue Grotto with emerald waters</t>
  </si>
  <si>
    <t>Included in boat tours, less crowded than Blue Grotto</t>
  </si>
  <si>
    <t>$750 for two</t>
  </si>
  <si>
    <t>Capri, Metropolitan City of Naples, Italy</t>
  </si>
  <si>
    <t>Il Riccio</t>
  </si>
  <si>
    <t>Beach Club Restaurant</t>
  </si>
  <si>
    <t>🍤</t>
  </si>
  <si>
    <t>Fresh seafood restaurant on terrace overlooking Blue Grotto, breathtaking views</t>
  </si>
  <si>
    <t>Gourmet specialties, iconic "dessert room", chic Mediterranean style</t>
  </si>
  <si>
    <t>12:30 PM - 3:30 PM</t>
  </si>
  <si>
    <t>Via Gradola, 4, 80071 Anacapri NA, Italy</t>
  </si>
  <si>
    <t>40.5608853, 14.203249</t>
  </si>
  <si>
    <t>Villa San Michele</t>
  </si>
  <si>
    <t>Historic Villa</t>
  </si>
  <si>
    <t>Axel Munthe's villa with gardens and panoramic views</t>
  </si>
  <si>
    <t>€8 entrance, peaceful gardens, historic significance</t>
  </si>
  <si>
    <t>9:00 AM - 6:00 PM</t>
  </si>
  <si>
    <t>Villa San Michele, Via Axel Munthe, 34, 80071 Anacapri NA, Italy</t>
  </si>
  <si>
    <t>40.5572702, 14.2251246</t>
  </si>
  <si>
    <t>Monte Solaro Chairlift</t>
  </si>
  <si>
    <t>Chairlift</t>
  </si>
  <si>
    <t>🚡</t>
  </si>
  <si>
    <t>Chairlift to highest point on Capri (589m) with panoramic views</t>
  </si>
  <si>
    <t>€11 round trip, spectacular 360-degree views</t>
  </si>
  <si>
    <t>9:30 AM - 5:00 PM</t>
  </si>
  <si>
    <t>Via Caposcuro, 10, 80071 Anacapri NA, Italy</t>
  </si>
  <si>
    <t>40.5554465, 14.221584</t>
  </si>
  <si>
    <t>Celebrity Restaurant</t>
  </si>
  <si>
    <t>🍋</t>
  </si>
  <si>
    <t>Dining under 130 fragrant lemon trees, celebrity hotspot</t>
  </si>
  <si>
    <t>Book months in advance, cash payments only, "Bomba" specialty pizza, legendary dessert buffet</t>
  </si>
  <si>
    <t>Via Palazzo a Mare, 11, 80076 Capri NA, Italy</t>
  </si>
  <si>
    <t>40.5585739, 14.2309054</t>
  </si>
  <si>
    <t>Dinner: Recommended by Repton</t>
  </si>
  <si>
    <t>La Fontelina Beach Club</t>
  </si>
  <si>
    <t>🏖️</t>
  </si>
  <si>
    <t>VIP beach club beneath Faraglioni rocks, celebrity favorite, "paradise on earth"</t>
  </si>
  <si>
    <t>€190 minimum spending (high season), famous sangria, celebrity spotting, closed July 4 &amp; Sep 13</t>
  </si>
  <si>
    <t>9:00 AM - 7:00 PM (April 19 - Oct 12)</t>
  </si>
  <si>
    <t>Via dei Faraglioni, 2, 80073 Capri NA, Italy</t>
  </si>
  <si>
    <t>40.5437871, 14.2510518</t>
  </si>
  <si>
    <t>Le Monzù</t>
  </si>
  <si>
    <t>Michelin Restaurant</t>
  </si>
  <si>
    <t>1 Michelin Star restaurant at Hotel Punta Tragara, terrace designed by Le Corbusier</t>
  </si>
  <si>
    <t>€250 minimum per person, Faraglioni views "floating over the sea"</t>
  </si>
  <si>
    <t>Via Tragara, 57, 80073 Capri NA, Italy</t>
  </si>
  <si>
    <t>40.5452777, 14.2505134</t>
  </si>
  <si>
    <t>L'Olivo</t>
  </si>
  <si>
    <t>2 Michelin Stars, highest rated restaurant on Capri, quiet village location</t>
  </si>
  <si>
    <t>€250 minimum per person, ultimate culinary excellence, book months ahead</t>
  </si>
  <si>
    <t>Via Capodimonte, 14, 80071 Anacapri NA, Italy</t>
  </si>
  <si>
    <t>40.5557415, 14.221837</t>
  </si>
  <si>
    <t>Palazzo Avino</t>
  </si>
  <si>
    <t>Pink palace of Ravello with fairy-tale vista, 12th-century palace with Monte Avvocata valley views</t>
  </si>
  <si>
    <t>From £1,083/night, Michelin-starred Rossellini's restaurant, beach club</t>
  </si>
  <si>
    <t>Via S. Giovanni del Toro, 28, 84010 Ravello SA, Italy</t>
  </si>
  <si>
    <t>40.6508871, 14.6129698</t>
  </si>
  <si>
    <t>Borgo Santandrea</t>
  </si>
  <si>
    <t>Perched high in cliffs, built into rock face, most plum address on the Amalfi</t>
  </si>
  <si>
    <t>From £700/night, Al Borgo beach club, views of Conca dei Marini</t>
  </si>
  <si>
    <t>Via Giovanni Augustariccio, 33, 84011 Amalfi SA, Italy</t>
  </si>
  <si>
    <t>40.6189299, 14.5764754</t>
  </si>
  <si>
    <t>Rossellini's</t>
  </si>
  <si>
    <t>Michelin-starred dining at Palazzo Avino with spectacular terrace</t>
  </si>
  <si>
    <t>Lemon ravioli by candlelight, one of most spectacular dining rooms on coast</t>
  </si>
  <si>
    <t>Al Borgo</t>
  </si>
  <si>
    <t>Informal beach club at Borgo Santandrea with sunset Negronis</t>
  </si>
  <si>
    <t>Fritto misto, spaghetti alle vongole, caprese, sunset terrace</t>
  </si>
  <si>
    <t>84011 Amalfi, SA, Italy</t>
  </si>
  <si>
    <t>40.6338303, 14.6027661</t>
  </si>
  <si>
    <t>La Tagliata</t>
  </si>
  <si>
    <t>Cooking Class &amp; Restaurant</t>
  </si>
  <si>
    <t>👨‍🍳</t>
  </si>
  <si>
    <t>Authentic Italian family-style cooking class, 40-year family business</t>
  </si>
  <si>
    <t>Book months ahead, cash only, garden tour, farm animals, 3 terraces with views</t>
  </si>
  <si>
    <t>10:00 AM - 3:15 PM</t>
  </si>
  <si>
    <t>Via Tagliata, 32B, 84017 Positano SA, Italy</t>
  </si>
  <si>
    <t>40.6311822, 14.4971535</t>
  </si>
  <si>
    <t>Spiaggia Grande</t>
  </si>
  <si>
    <t>Main Beach</t>
  </si>
  <si>
    <t>Main beach with colorful umbrellas and iconic Positano backdrop</t>
  </si>
  <si>
    <t>Umbrella rentals available, most photographed beach</t>
  </si>
  <si>
    <t>8:00 AM - 7:00 PM</t>
  </si>
  <si>
    <t>Via del Brigantino, 84017 Positano SA, Italy</t>
  </si>
  <si>
    <t>40.6278423, 14.4880918</t>
  </si>
  <si>
    <t>Chiesa di Santa Maria Assunta</t>
  </si>
  <si>
    <t>Church</t>
  </si>
  <si>
    <t>Iconic dome church with ceramic tile dome, symbol of Positano</t>
  </si>
  <si>
    <t>Free entry, beautiful ceramics, historic significance</t>
  </si>
  <si>
    <t>8:00 AM - 12:00 PM, 4:00 PM - 7:00 PM</t>
  </si>
  <si>
    <t>P.za Flavio Gioia, 84017 Positano SA, Italy</t>
  </si>
  <si>
    <t>40.6283686, 14.4865314</t>
  </si>
  <si>
    <t>Via dei Mulini</t>
  </si>
  <si>
    <t>Main shopping street with local boutiques and ceramics</t>
  </si>
  <si>
    <t>Positano fashion, local ceramics, steep vertical street</t>
  </si>
  <si>
    <t>Via dei Mulini, 84017 Positano SA, Italy</t>
  </si>
  <si>
    <t>40.6290779, 14.4866109</t>
  </si>
  <si>
    <t>La Scogliera Beach Club</t>
  </si>
  <si>
    <t>Beach club set between rocks with Li Galli Islands views, romantic sunset transformation</t>
  </si>
  <si>
    <t>Day to night transformation, cocktails and sunbeds, romantic lounge bar</t>
  </si>
  <si>
    <t>9:00 AM - 11:00 PM</t>
  </si>
  <si>
    <t>Spiaggia, Via del Brigantino, 84017 Positano SA, Italy</t>
  </si>
  <si>
    <t>Da Ferdinando Beach Club</t>
  </si>
  <si>
    <t>More reasonably priced beach club at Fornillo Beach</t>
  </si>
  <si>
    <t>Away from main crowds, umbrella reservations for two, good value</t>
  </si>
  <si>
    <t>Spiaggia di Fornillo, 84017 Positano SA, Italy</t>
  </si>
  <si>
    <t>40.6263545, 14.4822477</t>
  </si>
  <si>
    <t>Villa Rufolo</t>
  </si>
  <si>
    <t>Historic Villa &amp; Gardens</t>
  </si>
  <si>
    <t>Historic 13th-century villa with magnificent gardens and coastal views</t>
  </si>
  <si>
    <t>€7 entrance, Wagner Terrace, concert venue for Ravello Festival</t>
  </si>
  <si>
    <t>Piazza Duomo, 1, 84010 Ravello SA, Italy</t>
  </si>
  <si>
    <t>40.6490843, 14.6113693</t>
  </si>
  <si>
    <t>Villa Cimbrone</t>
  </si>
  <si>
    <t>Terrace of Infinity with panoramic views, English-style gardens</t>
  </si>
  <si>
    <t>€12 entrance, one of most photographed spots on Amalfi Coast</t>
  </si>
  <si>
    <t>9:00 AM - sunset</t>
  </si>
  <si>
    <t>$4000 for two</t>
  </si>
  <si>
    <t>Via Santa Chiara, 26, 84010 Ravello SA, Italy</t>
  </si>
  <si>
    <t>40.644269, 14.611034</t>
  </si>
  <si>
    <t>Duomo di Ravello</t>
  </si>
  <si>
    <t>11th-century cathedral with beautiful bronze doors and intricate mosaics</t>
  </si>
  <si>
    <t>Free entry, peaceful spiritual atmosphere, historic pulpit</t>
  </si>
  <si>
    <t>9:00 AM - 1:00 PM, 3:00 PM - 7:00 PM</t>
  </si>
  <si>
    <t>Piazza Duomo, 84010 Ravello SA, Italy</t>
  </si>
  <si>
    <t>Path of the Gods (Sentiero degli Dei)</t>
  </si>
  <si>
    <t>Hiking Trail</t>
  </si>
  <si>
    <t>Spectacular coastal hiking trail from Bomerano to Nocelle</t>
  </si>
  <si>
    <t>3.5 hours, moderate difficulty, ancient mule paths, ends in Positano</t>
  </si>
  <si>
    <t>Dawn to dusk</t>
  </si>
  <si>
    <t>$600 for two</t>
  </si>
  <si>
    <t>Belmond Villa Margherita</t>
  </si>
  <si>
    <t>Ultra-Luxury Villa</t>
  </si>
  <si>
    <t>Ultra-exclusive villa with spine-tingling views, can be rented whole</t>
  </si>
  <si>
    <t>From £3,403/night, huge windows framing lemon terraces, private villa atmosphere</t>
  </si>
  <si>
    <t>Via Santa Margherita, 7, 84010 Ravello SA, Italy</t>
  </si>
  <si>
    <t>40.651503, 14.6129517</t>
  </si>
  <si>
    <t>Li Galli Islands</t>
  </si>
  <si>
    <t>Islands</t>
  </si>
  <si>
    <t>🏝️</t>
  </si>
  <si>
    <t>Mythical sirens' islands, boat tour destination</t>
  </si>
  <si>
    <t>Private islands, beautiful for swimming stops, mythological significance</t>
  </si>
  <si>
    <t>Boat tours only</t>
  </si>
  <si>
    <t>40.5828024, 14.4341215</t>
  </si>
  <si>
    <t>Furore Fjord</t>
  </si>
  <si>
    <t>Dramatic coastal inlet, boat tour highlight</t>
  </si>
  <si>
    <t>Spectacular natural formation, great for photos</t>
  </si>
  <si>
    <t>40.6185726, 14.5509614</t>
  </si>
  <si>
    <t>Fishing Village</t>
  </si>
  <si>
    <t>🎣</t>
  </si>
  <si>
    <t>Picturesque fishing village, boat tour stop</t>
  </si>
  <si>
    <t>Authentic fishing village, views from Borgo Santandrea</t>
  </si>
  <si>
    <t>Emerald Grotto</t>
  </si>
  <si>
    <t>Alternative to Blue Grotto with emerald-colored waters</t>
  </si>
  <si>
    <t>Less crowded than Blue Grotto, included in boat tours</t>
  </si>
  <si>
    <t>40.6150824, 14.5670273</t>
  </si>
  <si>
    <t>Amalfi Town Historic Center</t>
  </si>
  <si>
    <t>Historic Town</t>
  </si>
  <si>
    <t>Historic center with cathedral and Piazza del Duomo</t>
  </si>
  <si>
    <t>UNESCO World Heritage site, beautiful cathedral</t>
  </si>
  <si>
    <t>Piazza del Duomo</t>
  </si>
  <si>
    <t>Main square with stunning cathedral and historic atmosphere</t>
  </si>
  <si>
    <t>Heart of Amalfi, beautiful cathedral steps</t>
  </si>
  <si>
    <t>Piazza Duomo, 84011 Amalfi SA, Italy</t>
  </si>
  <si>
    <t>40.6342211, 14.6026726</t>
  </si>
  <si>
    <t>Fornillo Beach</t>
  </si>
  <si>
    <t>Beach</t>
  </si>
  <si>
    <t>Quieter beach away from main Positano crowds</t>
  </si>
  <si>
    <t>Less crowded than Spiaggia Grande, Da Ferdinando beach club</t>
  </si>
  <si>
    <t>Fornillo Beach, Italy</t>
  </si>
  <si>
    <t>Anacapri Town Center</t>
  </si>
  <si>
    <t>Town</t>
  </si>
  <si>
    <t>🏘️</t>
  </si>
  <si>
    <t>Quieter side of Capri with local shops and cafes</t>
  </si>
  <si>
    <t>Peaceful exploration, away from crowds, authentic atmosphere</t>
  </si>
  <si>
    <t>80071 Anacapri NA, Italy</t>
  </si>
  <si>
    <t>40.5520861, 14.2177508</t>
  </si>
  <si>
    <t>Capri Town Center</t>
  </si>
  <si>
    <t>Chic center of Capri with luxury shopping and dining</t>
  </si>
  <si>
    <t>Celebrity atmosphere, luxury shopping, people watching</t>
  </si>
  <si>
    <t>Positano Vertical Town</t>
  </si>
  <si>
    <t>Famous vertical town built into cliffside</t>
  </si>
  <si>
    <t>Instagram-worthy views, steep streets, colorful houses</t>
  </si>
  <si>
    <t>84017 Positano, SA, Italy</t>
  </si>
  <si>
    <t>40.6294824, 14.4823462</t>
  </si>
  <si>
    <t>Ravello Mountain Town</t>
  </si>
  <si>
    <t>🏔️</t>
  </si>
  <si>
    <t>Peaceful mountain town with gardens and cultural sites</t>
  </si>
  <si>
    <t>Peaceful atmosphere, stunning views, cultural attractions</t>
  </si>
  <si>
    <t>84010 Ravello, SA, Italy</t>
  </si>
  <si>
    <t>Marina Grande Funicular</t>
  </si>
  <si>
    <t>Transportation</t>
  </si>
  <si>
    <t>Funicular connecting port to town center</t>
  </si>
  <si>
    <t>5-minute ride, essential for getting to town from port</t>
  </si>
  <si>
    <t>6:30 AM - 9:00 PM</t>
  </si>
  <si>
    <t>Via Cristoforo Colombo, 14, 80076 Capri NA, Italy</t>
  </si>
  <si>
    <t>40.5560455, 14.2389676</t>
  </si>
  <si>
    <t>Osteria della Mattonella</t>
  </si>
  <si>
    <t>Local Restaurant</t>
  </si>
  <si>
    <t>Quartieri Spagnoli local trattoria</t>
  </si>
  <si>
    <t>Walk-in friendly, authentic local atmosphere</t>
  </si>
  <si>
    <t>$80 for two</t>
  </si>
  <si>
    <t>Via Giovanni Nicotera, 13, 80132 Napoli NA, Italy</t>
  </si>
  <si>
    <t>40.836603, 14.2440567</t>
  </si>
  <si>
    <t>Laurito Beach Club</t>
  </si>
  <si>
    <t>Beach club option (formerly Treville)</t>
  </si>
  <si>
    <t>Alternative beach club option</t>
  </si>
  <si>
    <t>Via Laurito, 24, 84017 Positano SA, Italy</t>
  </si>
  <si>
    <t>40.6225647, 14.507127</t>
  </si>
  <si>
    <t>Da Gioia Beach Club</t>
  </si>
  <si>
    <t>Beach club associated with Hotel La Palma</t>
  </si>
  <si>
    <t>Major advantage for hotel guests, sun loungers</t>
  </si>
  <si>
    <t>Via Mulo, 76, 80076 Capri NA, Italy</t>
  </si>
  <si>
    <t>40.5453166, 14.2340931</t>
  </si>
  <si>
    <t>Da Luigi's</t>
  </si>
  <si>
    <t>Thought to be really worth it2. This beach club is beautiful2. It's set amongst a giant rock2. It cost €100 to get in, but it came with a €60 credit2. The service here wasn't very good, but the food is good, and the location is very beautiful2.</t>
  </si>
  <si>
    <t>N/A</t>
  </si>
  <si>
    <t>?</t>
  </si>
  <si>
    <t>Via dei Faraglioni, 5, 80073 Capri NA, Italy</t>
  </si>
  <si>
    <t>40.543128, 14.2525968</t>
  </si>
  <si>
    <t>YouTube (Is The Amalfi Coast Worth It?) - https://www.youtube.com/watch?v=qEqWVNdIqKA&amp;list=TLGGTjGW-qj9EhUxMDA2MjAyNQ</t>
  </si>
  <si>
    <t>YouTube</t>
  </si>
  <si>
    <t>Arienzo Beach Club</t>
  </si>
  <si>
    <t>Spent $300 per person here, which was very expensive2. It was nice, but the speaker wouldn't really recommend it because there are really nice beach clubs for way less than this2.</t>
  </si>
  <si>
    <t>$300 for two</t>
  </si>
  <si>
    <t>Via Arienzo, 16, 84017 Positano SA, Italy</t>
  </si>
  <si>
    <t>40.6247046, 14.500676</t>
  </si>
  <si>
    <t>Beach Area</t>
  </si>
  <si>
    <t>A stunning little beach area in Praiano4. A great place to chill and swim8. It's down by the water, and using water taxis from here means you don't have to hike up to the road3.</t>
  </si>
  <si>
    <t>Marina di Praia, Via Praia, 84010 Praiano SA, Italy</t>
  </si>
  <si>
    <t>Beach / Fjord</t>
  </si>
  <si>
    <t>One of the coolest beaches1. Located in a little fjord complimented with an incredible arch bridge1. No car parking, best reached by bus or Vespa2. A paradise for cliff jumping2. Water felt good, swam under the bridge2. Honestly such an incredible spot2.</t>
  </si>
  <si>
    <t>Via Marina di Praia, 84010 Furore SA, Italy</t>
  </si>
  <si>
    <t>40.6141604, 14.5421669</t>
  </si>
  <si>
    <t>YouTube (Top 10 Places on the Amalfi Coast) - https://www.youtube.com/watch?v=Mupom-sgjAU&amp;list=TLGGuW2Fx0IJe4YxMDA2MjAyNQ</t>
  </si>
  <si>
    <t>🚶‍♀️</t>
  </si>
  <si>
    <t>A super famous hike3. Starts in the town called Bomerano and ends in the village called Nocelle3. About 8 kilometers long and takes about 3 hours3. Incredible views basically the whole way3. Tons of ancient houses and hillside farms contrasted with coast views3. Basically all downhill3. Recommend doing it early to avoid the heat and crowds3. About halfway through you get a view of Positano4. Ends with over 1700 stairs to reach the main road in Arienzo4.</t>
  </si>
  <si>
    <t>Recommended early</t>
  </si>
  <si>
    <t>Sentiero degli Dei, Italy</t>
  </si>
  <si>
    <t>40.6216598, 14.5208185</t>
  </si>
  <si>
    <t>Villa / Garden / Venue</t>
  </si>
  <si>
    <t>Located in Ravello9. A beautiful moorish style villa built during the 13th century10. Was one of the largest and most expensive villas10. Holds orchestra and opera concerts there with one of the most incredible views10. Cost a few euros to get in9.</t>
  </si>
  <si>
    <t>Spiaggia di Praia</t>
  </si>
  <si>
    <t>Down by the water in Praiano19. A stunning little beach area20. A great place to chill and swim1219. Using water taxis from here means you don't have to hike up to the road19.</t>
  </si>
  <si>
    <t>84010 Praiano, SA, Italy</t>
  </si>
  <si>
    <t>Faraglioni</t>
  </si>
  <si>
    <t>Rock Formations / Landmark</t>
  </si>
  <si>
    <t>🪨</t>
  </si>
  <si>
    <t>Incredible sea stacks that jut right out of the sea near Capri15. They were the main reason Ryan wanted to go to Capri15. Had a good time jumping off the boat there15. Was able to drive through the arch in one of them16. Looked so small from Monte Solaro17.</t>
  </si>
  <si>
    <t>Accessible via boat during daylight hours</t>
  </si>
  <si>
    <t>Faraglioni, Italy</t>
  </si>
  <si>
    <t>40.540163, 14.2528574</t>
  </si>
  <si>
    <t>Grotta Bianca</t>
  </si>
  <si>
    <t>Grotto / Sea Cave</t>
  </si>
  <si>
    <t>Sea cave/grotto near the eastern part of the island16. Anchored near here and had a great time swimming in the crystal clear Mediterranean waters16.</t>
  </si>
  <si>
    <t>80073 Capri, Metropolitan City of Naples, Italy</t>
  </si>
  <si>
    <t>40.551155, 14.2479425</t>
  </si>
  <si>
    <t>Monte Solaro</t>
  </si>
  <si>
    <t>Mountain / Viewpoint</t>
  </si>
  <si>
    <t>🚠</t>
  </si>
  <si>
    <t>The highest point on the island of Capri with an elevation of 589 meters17. To get to the top you can take a chair lift for about 10 euros a person17. The views were absolutely incredible, especially nearing sunset17. You get astounding views of the whole island17. The Faraglioni looked so small from up there17.</t>
  </si>
  <si>
    <t>Monte Solaro, 80071 Anacapri, Metropolitan City of Naples, Italy</t>
  </si>
  <si>
    <t>40.5449719, 14.2229833</t>
  </si>
  <si>
    <t>Palazzo Alabardieri</t>
  </si>
  <si>
    <t>Historic converted cloister with elegant rooms, each featuring unique color themes. 2-minute walk from Via Chiaia shops.</t>
  </si>
  <si>
    <t>Multilingual staff, excellent breakfast included. Request room with seating area for romantic aperitivos.</t>
  </si>
  <si>
    <t>24/7 check-in</t>
  </si>
  <si>
    <t>$250-400/night</t>
  </si>
  <si>
    <t>Manus (Chiaia) - https://chatgpt.com/c/6846f0da-7884-8009-ad13-dba01dfa021d</t>
  </si>
  <si>
    <t>Manus Chiaia</t>
  </si>
  <si>
    <t>Hotel Poerio 25 Boutique Stay</t>
  </si>
  <si>
    <t>Sleek boutique property with contemporary design, feels like stylish friend's apartment. 10-min walk to beach.</t>
  </si>
  <si>
    <t>Personalized service, modern amenities</t>
  </si>
  <si>
    <t>$189-250/night</t>
  </si>
  <si>
    <t>Prestige Rooms Chiaia</t>
  </si>
  <si>
    <t>Local favorite with exceptional value, beloved by locals and savvy travelers. Great location in Chiaia district.</t>
  </si>
  <si>
    <t>10-minute walk from Mappatella Beach, excellent reviews</t>
  </si>
  <si>
    <t>$178-220/night</t>
  </si>
  <si>
    <t>Il Salotto della Regina</t>
  </si>
  <si>
    <t>Charming accommodation with shared lounge and bar, extremely kind staff. Close to Via Chiaia.</t>
  </si>
  <si>
    <t>Excellent location, very helpful staff</t>
  </si>
  <si>
    <t>$200-280/night</t>
  </si>
  <si>
    <t>Grand Hotel Parker's</t>
  </si>
  <si>
    <t>Luxury 5-star hotel with amazing Gulf of Naples views. Houses Michelin-starred restaurant and rooftop bar.</t>
  </si>
  <si>
    <t>Extremely luxurious, above budget but worth noting for special occasions</t>
  </si>
  <si>
    <t>$635+/night</t>
  </si>
  <si>
    <t>Caruso Roof Garden</t>
  </si>
  <si>
    <t>Most romantic dining spot in Naples with unspoiled Mount Vesuvius views and refined atmosphere.</t>
  </si>
  <si>
    <t>2 Michelin stars, refined neutral furnishings, soft lighting. Request window table when booking.</t>
  </si>
  <si>
    <t>Mon-Fri 19:30-22:00, Sat-Sun 13:00-15:00 &amp; 19:30-22:00</t>
  </si>
  <si>
    <t>$200-300</t>
  </si>
  <si>
    <t>A Fenestella</t>
  </si>
  <si>
    <t>Sunset specialist with crisp white furnishings and incredible bay views. Perfect for romantic dinners.</t>
  </si>
  <si>
    <t>Sardinian-style lobster specialty, incredible sunset views</t>
  </si>
  <si>
    <t>Mon &amp; Wed-Sun 12:00-16:00 &amp; 19:00-00:00, Closed Tue</t>
  </si>
  <si>
    <t>$120-180</t>
  </si>
  <si>
    <t>La Cantinella</t>
  </si>
  <si>
    <t>Unique Italian tiki bar atmosphere with bamboo walls and Mount Vesuvius views. Seafood focus.</t>
  </si>
  <si>
    <t>Bamboo walls create unique atmosphere, outdoor tables for best views</t>
  </si>
  <si>
    <t>Mon-Sat 12:30-15:30 &amp; 19:30-23:30, Sun 12:30-15:30</t>
  </si>
  <si>
    <t>$100-150</t>
  </si>
  <si>
    <t>Michelin Guide-worthy fine dining with elegant decor and seafront views. Innovative Neapolitan cuisine.</t>
  </si>
  <si>
    <t>Full-length windows, request window spot for undisturbed vistas</t>
  </si>
  <si>
    <t>Mon-Thu 19:00-22:30, Fri-Sun 12:30-15:00 &amp; 19:00-22:30</t>
  </si>
  <si>
    <t>$180-250</t>
  </si>
  <si>
    <t>Transatlantico Ristorante Suite</t>
  </si>
  <si>
    <t>Vibrant waterfront restaurant along lively marina with great views and energetic atmosphere.</t>
  </si>
  <si>
    <t>Mix of regional cuisines, vibrant atmosphere with views</t>
  </si>
  <si>
    <t>Varies</t>
  </si>
  <si>
    <t>$100-140</t>
  </si>
  <si>
    <t>Classic traditional restaurant from films, extremely authentic with best pasta alla Genovese in Naples.</t>
  </si>
  <si>
    <t>Started as wine/olive oil shop in 1978, very busy after 8pm, difficult to get table</t>
  </si>
  <si>
    <t>$60-90</t>
  </si>
  <si>
    <t>Pizzeria Brandi</t>
  </si>
  <si>
    <t>Historic pizzeria and birthplace of Pizza Margherita, created for Queen Margherita in 1889.</t>
  </si>
  <si>
    <t>Uses finest San Marzano tomatoes, original Pizza Margherita recipe</t>
  </si>
  <si>
    <t>$40-60</t>
  </si>
  <si>
    <t>George Restaurant</t>
  </si>
  <si>
    <t>First 2 Michelin stars restaurant in Naples offering '360° unforgettable sensorial experience'.</t>
  </si>
  <si>
    <t>2 Michelin stars 2024, fine dining, dress code likely required</t>
  </si>
  <si>
    <t>$300-400</t>
  </si>
  <si>
    <t>Bidder Terrace</t>
  </si>
  <si>
    <t>Rooftop Bar</t>
  </si>
  <si>
    <t>Relaxing rooftop cocktail terrace with mixology cocktails and Neapolitan street food. Amazing city views.</t>
  </si>
  <si>
    <t>Part of Grand Hotel Parker's, views over Gulf of Naples, Vesuvius, Capri</t>
  </si>
  <si>
    <t>$80-120</t>
  </si>
  <si>
    <t>Riserva Rooftop</t>
  </si>
  <si>
    <t>Elegant rooftop on Posillipo Hill with luxury Italian restaurant and international cocktail bar.</t>
  </si>
  <si>
    <t>Elevated position, amazing Naples and ocean views, haute cuisine available</t>
  </si>
  <si>
    <t>Chic rooftop experience with pool access and perfect location by Port of Naples.</t>
  </si>
  <si>
    <t>Michelin star restaurant, rooftop pool, port views</t>
  </si>
  <si>
    <t>L'Antiquario</t>
  </si>
  <si>
    <t>Speakeasy</t>
  </si>
  <si>
    <t>🚪</t>
  </si>
  <si>
    <t>Secret underground speakeasy accessed through antique store door with retro American atmosphere.</t>
  </si>
  <si>
    <t>Secret door entrance, retro speakeasy feel, book online ahead of time</t>
  </si>
  <si>
    <t>$60-100</t>
  </si>
  <si>
    <t>Barril Garden Bar</t>
  </si>
  <si>
    <t>Cocktail Bar</t>
  </si>
  <si>
    <t>Key bar in famous Chiaia nightlife district with sophisticated cocktail scene.</t>
  </si>
  <si>
    <t>Part of "i barretti di Chiaia" area, chic atmosphere</t>
  </si>
  <si>
    <t>$50-80</t>
  </si>
  <si>
    <t>Ba-Bar</t>
  </si>
  <si>
    <t>Sophisticated cocktail bar in the heart of Chiaia's famous bar district.</t>
  </si>
  <si>
    <t>Located in Via Bisignano, part of local nightlife scene</t>
  </si>
  <si>
    <t>Swig Chiaia</t>
  </si>
  <si>
    <t>🍸</t>
  </si>
  <si>
    <t>Naples' top cocktail bar known for creative drinks and vibrant nightlife atmosphere.</t>
  </si>
  <si>
    <t>Creative drinks, vibrant atmosphere, perfect for tourists</t>
  </si>
  <si>
    <t>Twins - Cocktail Wine Coffee</t>
  </si>
  <si>
    <t>Multi-concept venue offering cocktails, wine, and coffee throughout the day.</t>
  </si>
  <si>
    <t>Versatile venue for different times of day</t>
  </si>
  <si>
    <t>$40-70</t>
  </si>
  <si>
    <t>Enoteca Belledonne</t>
  </si>
  <si>
    <t>Wine Bar</t>
  </si>
  <si>
    <t>Fodor's Choice wine bar in the heart of Chiaia district.</t>
  </si>
  <si>
    <t>Fodor's Choice rating, intimate wine experience</t>
  </si>
  <si>
    <t>Chandelier</t>
  </si>
  <si>
    <t>Hip bar with cool drinks and free appetizers if arriving early. Opens at aperitivo time.</t>
  </si>
  <si>
    <t>Free appetizers if you come early, hip atmosphere</t>
  </si>
  <si>
    <t>Opens 18:30</t>
  </si>
  <si>
    <t>Bluestone</t>
  </si>
  <si>
    <t>🥃</t>
  </si>
  <si>
    <t>Casual bar in upscale Chiaia area for relaxed drinks.</t>
  </si>
  <si>
    <t>Located on Via Alabardieri, casual atmosphere</t>
  </si>
  <si>
    <t>Cap'Alice</t>
  </si>
  <si>
    <t>High-quality wines from Campania and Sicily with Rock&amp;Wine nights featuring live music.</t>
  </si>
  <si>
    <t>Freshly baked bread, fried fish cornetti, live music nights</t>
  </si>
  <si>
    <t>Mennella Il Gelato</t>
  </si>
  <si>
    <t>Gelateria</t>
  </si>
  <si>
    <t>Best gelato in Naples according to locals, craft ice cream factory founded in 1969.</t>
  </si>
  <si>
    <t>Multiple locations, wide variety from classic to seasonal flavors</t>
  </si>
  <si>
    <t>Mon-Sat 11:00-02:00, Sun 11:00-late</t>
  </si>
  <si>
    <t>$8-15</t>
  </si>
  <si>
    <t>Gay-Odin</t>
  </si>
  <si>
    <t>Historic chocolate shop serving the city's best chocolate gelato and traditional sweets.</t>
  </si>
  <si>
    <t>Best chocolate gelato in the city, historic shop</t>
  </si>
  <si>
    <t>Casa Infante</t>
  </si>
  <si>
    <t>Traditional gelateria with multiple locations for classic gelato experience.</t>
  </si>
  <si>
    <t>Traditional approach, multiple locations</t>
  </si>
  <si>
    <t>Il Gelatiere</t>
  </si>
  <si>
    <t>Sophisticated gelato experience in Chiaia with blend of old and new interior design.</t>
  </si>
  <si>
    <t>Located in upscale Chiaia, sophisticated atmosphere</t>
  </si>
  <si>
    <t>Villa Comunale</t>
  </si>
  <si>
    <t>Park</t>
  </si>
  <si>
    <t>🌳</t>
  </si>
  <si>
    <t>Most prestigious park in Naples, former Royal Garden with seafront location and aquarium.</t>
  </si>
  <si>
    <t>Former Royal Garden, houses 1870s aquarium, romantic strolls</t>
  </si>
  <si>
    <t>Daily 7:00-24:00</t>
  </si>
  <si>
    <t>Free</t>
  </si>
  <si>
    <t>Anton Dohrn Aquarium</t>
  </si>
  <si>
    <t>Aquarium</t>
  </si>
  <si>
    <t>🐠</t>
  </si>
  <si>
    <t>One of world's best marine biology research facilities, opened in 1872.</t>
  </si>
  <si>
    <t>Educational experience, unique date activity, scientific facility</t>
  </si>
  <si>
    <t>$15-25</t>
  </si>
  <si>
    <t>Villa Pignatelli</t>
  </si>
  <si>
    <t>19th-century villa-turned-museum with Doric columns, sea views, and beautiful gardens.</t>
  </si>
  <si>
    <t>$10-20</t>
  </si>
  <si>
    <t>Museum D'Aragona Pignatelli Cortes</t>
  </si>
  <si>
    <t>Neapolitan "house museum" with art collection, donated by Princess Rosina in 1952.</t>
  </si>
  <si>
    <t>Art collection, intimate cultural experience</t>
  </si>
  <si>
    <t>Daily except Tuesday 9:00-14:00</t>
  </si>
  <si>
    <t>$10-15</t>
  </si>
  <si>
    <t>Museum Marchese Mario d'Alessandro</t>
  </si>
  <si>
    <t>Unique carriage museum with collection of old carriages and harnesses.</t>
  </si>
  <si>
    <t>Collection of historical transportation, inaugurated 1975</t>
  </si>
  <si>
    <t>$8-12</t>
  </si>
  <si>
    <t>Funicolare Centrale</t>
  </si>
  <si>
    <t>One of world's longest and busiest funiculars offering dramatic city views to Vomero Hill.</t>
  </si>
  <si>
    <t>10+ million passengers annually, dramatic engineering feat</t>
  </si>
  <si>
    <t>$3-5</t>
  </si>
  <si>
    <t>Lungomare Caracciolo</t>
  </si>
  <si>
    <t>Promenade</t>
  </si>
  <si>
    <t>🌅</t>
  </si>
  <si>
    <t>Romantic waterfront promenade with stunning Castel dell'Ovo and Mount Vesuvius views.</t>
  </si>
  <si>
    <t>Best at sunset, golden coastline views, hand-in-hand strolls</t>
  </si>
  <si>
    <t>24/7</t>
  </si>
  <si>
    <t>Via Chiaia</t>
  </si>
  <si>
    <t>Elegant shopping street with luxury boutiques and beautiful architecture.</t>
  </si>
  <si>
    <t>Designer boutiques, historic palazzos, romantic window shopping</t>
  </si>
  <si>
    <t>Varies by shop</t>
  </si>
  <si>
    <t>$50-500+</t>
  </si>
  <si>
    <t>Rubinacci</t>
  </si>
  <si>
    <t>Shopping</t>
  </si>
  <si>
    <t>Home of men's tailoring with colorful ties, silk scarves, and vintage suits.</t>
  </si>
  <si>
    <t>Italian couture, luxury fashion, men's focus</t>
  </si>
  <si>
    <t>$200-2000+</t>
  </si>
  <si>
    <t>Gemelli da Polsi</t>
  </si>
  <si>
    <t>Luxury cuff links from simple silver to diamond-embedded designs.</t>
  </si>
  <si>
    <t>Unique luxury accessories, from silver to diamond options</t>
  </si>
  <si>
    <t>$100-1000+</t>
  </si>
  <si>
    <t>Birdy's Bakery</t>
  </si>
  <si>
    <t>American-style breakfast spot with Italian charm, cozy and refined atmosphere</t>
  </si>
  <si>
    <t>Pancakes, French toast, avocado toast, excellent coffee</t>
  </si>
  <si>
    <t>Mon-Tue 7:00-21:00, Wed 7:00-23:00</t>
  </si>
  <si>
    <t>Vico Belledonne a Chiaia, 14b, 80121 Napoli NA, Italy</t>
  </si>
  <si>
    <t>40.8352328, 14.2388971</t>
  </si>
  <si>
    <t>Manus (Chiaia More Options) - https://chatgpt.com/c/6846f0da-7884-8009-ad13-dba01dfa021d</t>
  </si>
  <si>
    <t>Caffè Sansone</t>
  </si>
  <si>
    <t>Known for preparing some of the best coffee in Naples</t>
  </si>
  <si>
    <t>Authentic Neapolitan coffee experience</t>
  </si>
  <si>
    <t>$5-10</t>
  </si>
  <si>
    <t>C.so Vittorio Emanuele, 269, 80135 Napoli NA, Italy</t>
  </si>
  <si>
    <t>40.8403652, 14.2434381</t>
  </si>
  <si>
    <t>Blue Turtle Caffeteria</t>
  </si>
  <si>
    <t>Hipster spot with excellent coffee and modern atmosphere</t>
  </si>
  <si>
    <t>Instagram-worthy coffee and casual hangout</t>
  </si>
  <si>
    <t>Passeggiata Colonna, P.za Amedeo, 16c, 80121 Napoli NA, Italy</t>
  </si>
  <si>
    <t>40.8368152, 14.2346448</t>
  </si>
  <si>
    <t>Pasticceria Mennella</t>
  </si>
  <si>
    <t>Classic Neapolitan pastries and excellent coffee</t>
  </si>
  <si>
    <t>Traditional Italian breakfast experience</t>
  </si>
  <si>
    <t>Via Giosuè Carducci, 50/52, 80121 Napoli NA, Italy</t>
  </si>
  <si>
    <t>40.8364836, 14.2371015</t>
  </si>
  <si>
    <t>La Feltrinelli Bookstore Cafe</t>
  </si>
  <si>
    <t>📚</t>
  </si>
  <si>
    <t>Bookstore cafe perfect for browsing and coffee</t>
  </si>
  <si>
    <t>Quiet coffee break while book shopping</t>
  </si>
  <si>
    <t>50 Kaló</t>
  </si>
  <si>
    <t>Pizzeria</t>
  </si>
  <si>
    <t>Upscale casual pizza, popular with wealthy locals</t>
  </si>
  <si>
    <t>Gourmet pizza with premium ingredients, border of Chiaia and Posillipo</t>
  </si>
  <si>
    <t>$25-35</t>
  </si>
  <si>
    <t>P.za Sannazaro, 201/c, 80121 Napoli NA, Italy</t>
  </si>
  <si>
    <t>40.8283749, 14.2202568</t>
  </si>
  <si>
    <t>Yes - dinner</t>
  </si>
  <si>
    <t>Pizzeria Donna Sofia a Chiaia</t>
  </si>
  <si>
    <t>Fantastic fried pizza specialist</t>
  </si>
  <si>
    <t>Thin crust fried pizza with excellent ingredients</t>
  </si>
  <si>
    <t>Via Chiaia, 188, 80132 Napoli NA, Italy</t>
  </si>
  <si>
    <t>40.8360475, 14.2452463</t>
  </si>
  <si>
    <t>Mama Eat - Napoli</t>
  </si>
  <si>
    <t>Highly rated casual pizza spot</t>
  </si>
  <si>
    <t>4.5/5 on TripAdvisor rating</t>
  </si>
  <si>
    <t>$20-30</t>
  </si>
  <si>
    <t>Via Alessandro Manzoni, 6, 80123 Napoli NA, Italy</t>
  </si>
  <si>
    <t>40.83663, 14.2132139</t>
  </si>
  <si>
    <t>Pizzeria Gaetano Genovesi</t>
  </si>
  <si>
    <t>Traditional pizzeria with excellent reputation</t>
  </si>
  <si>
    <t>Authentic Neapolitan pizza experience</t>
  </si>
  <si>
    <t>$18-28</t>
  </si>
  <si>
    <t>Via Alessandro Manzoni, 26/i, 80123 Napoli NA, Italy</t>
  </si>
  <si>
    <t>40.8353744, 14.2112749</t>
  </si>
  <si>
    <t>Umberto</t>
  </si>
  <si>
    <t>Traditional restaurant serving both pizza and other dishes</t>
  </si>
  <si>
    <t>Versatile dining option</t>
  </si>
  <si>
    <t>$25-40</t>
  </si>
  <si>
    <t>Via Foria, Napoli NA, Italy</t>
  </si>
  <si>
    <t>40.8585895, 14.2607189</t>
  </si>
  <si>
    <t>Kestè</t>
  </si>
  <si>
    <t>Popular student spot with live music calendar</t>
  </si>
  <si>
    <t>Casual drinks with potential live entertainment</t>
  </si>
  <si>
    <t>$20-35</t>
  </si>
  <si>
    <t>Via S. Giovanni Maggiore Pignatelli, 26/27, 80134 Napoli NA, Italy</t>
  </si>
  <si>
    <t>40.8458993, 14.2557424</t>
  </si>
  <si>
    <t>Vineria San Sebastiano</t>
  </si>
  <si>
    <t>Classic wine bar with local atmosphere</t>
  </si>
  <si>
    <t>Traditional Italian wine experience</t>
  </si>
  <si>
    <t>Via S. Sebastiano, 11, 80134 Napoli NA, Italy</t>
  </si>
  <si>
    <t>40.8489422, 14.2523447</t>
  </si>
  <si>
    <t>Spuzzulè Wine</t>
  </si>
  <si>
    <t>Casual wine spot with local character</t>
  </si>
  <si>
    <t>Spontaneous wine tasting</t>
  </si>
  <si>
    <t>Vico Sergente Maggiore, 54, 80132 Napoli NA, Italy</t>
  </si>
  <si>
    <t>40.8380594, 14.2480586</t>
  </si>
  <si>
    <t>Archeobar - Negroneria Napoletana</t>
  </si>
  <si>
    <t>Negroni specialist with archaeological theme</t>
  </si>
  <si>
    <t>Classic Italian cocktails</t>
  </si>
  <si>
    <t>Via Mezzocannone, 101/Bis, 80134 Napoli NA, Italy</t>
  </si>
  <si>
    <t>40.8474023, 14.2557165</t>
  </si>
  <si>
    <t>Wine Boat Wine Bar</t>
  </si>
  <si>
    <t>Unique nautical-themed wine bar</t>
  </si>
  <si>
    <t>Waterfront drinks with character</t>
  </si>
  <si>
    <t>$30-45</t>
  </si>
  <si>
    <t>Vico D'Afflitto, 39, 80132 Napoli NA, Italy</t>
  </si>
  <si>
    <t>40.839339, 14.2479643</t>
  </si>
  <si>
    <t>Marinella</t>
  </si>
  <si>
    <t>👔</t>
  </si>
  <si>
    <t>Famous tie and accessory shop</t>
  </si>
  <si>
    <t>Handmade ties and silk accessories</t>
  </si>
  <si>
    <t>Riviera di Chiaia, 287a, 80121 Napoli NA, Italy</t>
  </si>
  <si>
    <t>40.833196, 14.240801</t>
  </si>
  <si>
    <t>Scaramanzia</t>
  </si>
  <si>
    <t>👗</t>
  </si>
  <si>
    <t>Local boutique with unique finds</t>
  </si>
  <si>
    <t>Discovering local fashion and gifts</t>
  </si>
  <si>
    <t>$30-200+</t>
  </si>
  <si>
    <t>Vico Sergente Maggiore, 45, 80132 Napoli NA, Italy</t>
  </si>
  <si>
    <t>40.8379655, 14.2474107</t>
  </si>
  <si>
    <t>Otisopse</t>
  </si>
  <si>
    <t>👕</t>
  </si>
  <si>
    <t>Trendy boutique with contemporary style</t>
  </si>
  <si>
    <t>Modern fashion and accessories</t>
  </si>
  <si>
    <t>$40-300+</t>
  </si>
  <si>
    <t>Antichita e Restauro Lepre dal 1959</t>
  </si>
  <si>
    <t>Antique Shop</t>
  </si>
  <si>
    <t>🏺</t>
  </si>
  <si>
    <t>Antique shop with vintage treasures</t>
  </si>
  <si>
    <t>Unique vintage finds and curiosities</t>
  </si>
  <si>
    <t>$20-500+</t>
  </si>
  <si>
    <t>Via Carlo Poerio, 80, 80121 Napoli NA, Italy</t>
  </si>
  <si>
    <t>40.8339263, 14.2370494</t>
  </si>
  <si>
    <t>Chalet Ciro 1952</t>
  </si>
  <si>
    <t>Historic gelateria with traditional approach</t>
  </si>
  <si>
    <t>Classic gelato experience by the sea</t>
  </si>
  <si>
    <t>Via Caracciolo fronte, Via Orazio, 80122 Napoli NA, Italy</t>
  </si>
  <si>
    <t>40.831707, 14.2288138</t>
  </si>
  <si>
    <t>Gelateria Valenti</t>
  </si>
  <si>
    <t>Quality artisanal gelato</t>
  </si>
  <si>
    <t>High-quality gelato experience</t>
  </si>
  <si>
    <t>Via dei Tribunali, 53, 80138 Napoli NA, Italy</t>
  </si>
  <si>
    <t>40.8508104, 14.2565817</t>
  </si>
  <si>
    <t>Fantasia Gelati</t>
  </si>
  <si>
    <t>Known for fruity flavors and creative combinations</t>
  </si>
  <si>
    <t>Adventurous gelato flavors</t>
  </si>
  <si>
    <t>Largo Alessandro Lala, 30, 80125 Napoli NA, Italy</t>
  </si>
  <si>
    <t>40.8271202, 14.2051601</t>
  </si>
  <si>
    <t>La Prosciutteria</t>
  </si>
  <si>
    <t>Aperitivo Bar</t>
  </si>
  <si>
    <t>🥓</t>
  </si>
  <si>
    <t>Casual spot for aperitivo with charcuterie</t>
  </si>
  <si>
    <t>Italian aperitivo with quality meats and cheeses</t>
  </si>
  <si>
    <t>Corso Secondigliano, 80144 Napoli NA, Italy</t>
  </si>
  <si>
    <t>40.8898201, 14.263994</t>
  </si>
  <si>
    <t>Ceraldi Caffè</t>
  </si>
  <si>
    <t>Local cafe with aperitivo service</t>
  </si>
  <si>
    <t>Casual evening drinks</t>
  </si>
  <si>
    <t>Piazza Carità, 14, 80134 Napoli NA, Italy</t>
  </si>
  <si>
    <t>40.84450349999999, 14.2488753</t>
  </si>
  <si>
    <t>Red Wine</t>
  </si>
  <si>
    <t>Simple wine bar with local character</t>
  </si>
  <si>
    <t>Straightforward wine experience</t>
  </si>
  <si>
    <t>Grand Tour - Cocktail Boutique</t>
  </si>
  <si>
    <t>Boutique cocktail experience</t>
  </si>
  <si>
    <t>Sophisticated but casual cocktails</t>
  </si>
  <si>
    <t>$35-50</t>
  </si>
  <si>
    <t>Via Santa Lucia, 66/68, 80132 Napoli NA, Italy</t>
  </si>
  <si>
    <t>40.8326246, 14.2488009</t>
  </si>
  <si>
    <t>Buona Merenda</t>
  </si>
  <si>
    <t>🍰</t>
  </si>
  <si>
    <t>Traditional pastry shop</t>
  </si>
  <si>
    <t>Authentic Neapolitan sweets</t>
  </si>
  <si>
    <t>Via San Biagio Dei Librai, 19, 80138 Napoli NA, Italy</t>
  </si>
  <si>
    <t>40.8491576, 14.2574492</t>
  </si>
  <si>
    <t>Chalet Delle Palme</t>
  </si>
  <si>
    <t>Seaside pastry and coffee spot</t>
  </si>
  <si>
    <t>Sweet treats with sea views</t>
  </si>
  <si>
    <t>$10-18</t>
  </si>
  <si>
    <t>Via Francesco Caracciolo, 1 d, 80122 Napoli NA, Italy</t>
  </si>
  <si>
    <t>40.8261269, 14.2203751</t>
  </si>
  <si>
    <t>Libreria Berisio</t>
  </si>
  <si>
    <t>Bookstore Wine Bar</t>
  </si>
  <si>
    <t>Historic bookstore with wine bar</t>
  </si>
  <si>
    <t>Browsing books while sipping wine</t>
  </si>
  <si>
    <t>Via Port'Alba, 28, 80134 Napoli NA, Italy</t>
  </si>
  <si>
    <t>40.8494919, 14.2508104</t>
  </si>
  <si>
    <t>Bancarelle di San Pasquale</t>
  </si>
  <si>
    <t>Market</t>
  </si>
  <si>
    <t>🛒</t>
  </si>
  <si>
    <t>Local market stalls</t>
  </si>
  <si>
    <t>Discovering local products and souvenirs</t>
  </si>
  <si>
    <t>$5-50</t>
  </si>
  <si>
    <t>Piazza San Pasquale, 80121 Napoli NA, Italy</t>
  </si>
  <si>
    <t>40.8341841, 14.2363668</t>
  </si>
  <si>
    <t>- Michelin-starred
 - Modern Mediterranean cuisine
 - Gorgeous views right over the water</t>
  </si>
  <si>
    <t>Reservations highly recommended, upscale attire expected.</t>
  </si>
  <si>
    <t>12:30–14:30, 19:30–22:30</t>
  </si>
  <si>
    <t>$180–250</t>
  </si>
  <si>
    <t>Chat GPT - https://chatgpt.com/c/6846f0da-7884-8009-ad13-dba01dfa021d</t>
  </si>
  <si>
    <t>Ristorante Il Miracolo dei Pesci</t>
  </si>
  <si>
    <t>- Casual seafood with sea views
 - Cozy, rustic ambiance
 - Great for grilled fish and seafood pasta</t>
  </si>
  <si>
    <t>Outdoor terrace seating available, often busy during sunset.</t>
  </si>
  <si>
    <t>12:00–15:30, 19:00–23:00</t>
  </si>
  <si>
    <t>$80–120</t>
  </si>
  <si>
    <t>L.go Sermoneta, 17, 80122 Napoli NA, Italy</t>
  </si>
  <si>
    <t>40.82335279999999, 14.217625</t>
  </si>
  <si>
    <t>Ristorante Reginella</t>
  </si>
  <si>
    <t>- Overlooks the Gulf of Naples
 - Great pasta and seafood
 - Romantic ambiance with sunset views</t>
  </si>
  <si>
    <t>Make sure to ask for a terrace table when reserving.</t>
  </si>
  <si>
    <t>12:00–15:30, 19:30–23:00</t>
  </si>
  <si>
    <t>$90–130</t>
  </si>
  <si>
    <t>Via Posillipo, 45a, 80123 Napoli NA, Italy</t>
  </si>
  <si>
    <t>40.8126189, 14.2073731</t>
  </si>
  <si>
    <t>La Scialuppa</t>
  </si>
  <si>
    <t>- Classic Neapolitan seafood spot
 - Located in the Castel dell'Ovo marina
 - Scenic views and lively energy</t>
  </si>
  <si>
    <t>Great choice for lighter fare or shared dishes.</t>
  </si>
  <si>
    <t>12:00–15:30, 19:00–23:30</t>
  </si>
  <si>
    <t>$70–110</t>
  </si>
  <si>
    <t>Piazzetta Marinari, 5, 80132 Napoli NA, Italy</t>
  </si>
  <si>
    <t>40.8278216, 14.2485845</t>
  </si>
  <si>
    <t>Historic Garden</t>
  </si>
  <si>
    <t>Historic gardens that inspired Wagner's 'Parsifal', featuring Moorish cloister and Torre Maggiore with panoramic views</t>
  </si>
  <si>
    <t>Walk where Boccaccio set scenes from 'Decameron', best photography during golden hour</t>
  </si>
  <si>
    <t>9:00 AM - 8:00 PM (last entry 7:30 PM)</t>
  </si>
  <si>
    <t>€8 per person</t>
  </si>
  <si>
    <t>Manus - https://manus.im/app/BW91CbS2mKciOf4E3b3a3o</t>
  </si>
  <si>
    <t>Manus Ravello</t>
  </si>
  <si>
    <t>Villa Cimbrone &amp; Terrace of Infinity</t>
  </si>
  <si>
    <t>Famous gardens with the iconic Terrace of Infinity featuring marble busts overlooking the coast, most Instagram-worthy spot on Amalfi Coast</t>
  </si>
  <si>
    <t>Arrive early for best light and fewer crowds, walk where Virginia Woolf and D.H. Lawrence found inspiration</t>
  </si>
  <si>
    <t>9:00 AM - 8:30 PM (last entry 8:00 PM)</t>
  </si>
  <si>
    <t>€10 per person</t>
  </si>
  <si>
    <t>Piazza Duomo</t>
  </si>
  <si>
    <t>Heart of Ravello featuring 11th-century cathedral with magnificent bronze doors, intimate square perfect for people watching</t>
  </si>
  <si>
    <t>Peek into Duomo, outdoor café seating available for aperitivo</t>
  </si>
  <si>
    <t>Open 24/7</t>
  </si>
  <si>
    <t>Free (café drinks €3-8)</t>
  </si>
  <si>
    <t>Duomo &amp; Museum</t>
  </si>
  <si>
    <t>Cathedral/Museum</t>
  </si>
  <si>
    <t>11th-century cathedral with magnificent bronze doors, museum housed in ancient crypt with artifacts from 1696-1935</t>
  </si>
  <si>
    <t>Houses precious relic of patron saint St. Pantaleone, elevated to minor basilica by Pope Benedict XV in 1918</t>
  </si>
  <si>
    <t>€3-5 per person</t>
  </si>
  <si>
    <t>Belvedere Principessa di Piemonte</t>
  </si>
  <si>
    <t>Viewpoint</t>
  </si>
  <si>
    <t>Panoramic viewpoint perfect for sunset viewing and aperitivo with stunning coastal views</t>
  </si>
  <si>
    <t>Best time for golden hour photography and romantic atmosphere</t>
  </si>
  <si>
    <t>Giardini Principessa di Piemonte, Via S. Giovanni del Toro, 84010 Ravello SA, Italy</t>
  </si>
  <si>
    <t>40.6504711, 14.6130187</t>
  </si>
  <si>
    <t>Hotel Villa Fraulo</t>
  </si>
  <si>
    <t>Hotel (4-star)</t>
  </si>
  <si>
    <t>Former noble Cortese family residence (1908), intimate 26-room hotel with authentic heritage and romantic medieval villa atmosphere</t>
  </si>
  <si>
    <t>All rooms have private terraces overlooking Mediterranean, luxurious but genuine</t>
  </si>
  <si>
    <t>€400-800 per night</t>
  </si>
  <si>
    <t>Via Giovanni Boccaccio, 7, Via S. Giovanni del Toro, 18, 84010 Ravello SA, Italy</t>
  </si>
  <si>
    <t>40.6498302, 14.6128463</t>
  </si>
  <si>
    <t>Villa Piedimonte</t>
  </si>
  <si>
    <t>Boutique hotel with outdoor pool and panoramic Amalfi Coast views, 22 rooms with modern comfort and intimate atmosphere</t>
  </si>
  <si>
    <t>Editor's Choice rating (8.5/10), recently updated facilities</t>
  </si>
  <si>
    <t>€300-600 per night</t>
  </si>
  <si>
    <t>Via della Repubblica, 1, 84010 Ravello SA, Italy</t>
  </si>
  <si>
    <t>40.65201950000001, 14.6146212</t>
  </si>
  <si>
    <t>Caruso A Belmond Hotel</t>
  </si>
  <si>
    <t>Hotel (5-star)</t>
  </si>
  <si>
    <t>World-class luxury Belmond collection hotel, beautifully restored palace with infinity pool and Michelin dining</t>
  </si>
  <si>
    <t>Multiple restaurants including starred options, dramatic pool overlooking coast</t>
  </si>
  <si>
    <t>€1500-3000+ per night</t>
  </si>
  <si>
    <t>Piazza S. Giovanni del Toro, 2, 84010 Ravello SA, Italy</t>
  </si>
  <si>
    <t>Historic 12th-century palazzo conversion with Michelin-starred Rossellini's restaurant, 365 meters above sea level</t>
  </si>
  <si>
    <t>Rich history and architectural significance, sophisticated refined atmosphere</t>
  </si>
  <si>
    <t>€800-2000 per night</t>
  </si>
  <si>
    <t>La Moresca</t>
  </si>
  <si>
    <t>Hotel (3-star)</t>
  </si>
  <si>
    <t>Budget-friendly central location hotel with 11 rooms, shared terrace with stunning sea views and authentic local family-run feel</t>
  </si>
  <si>
    <t>Great value for views and location without luxury price, walking distance to everything</t>
  </si>
  <si>
    <t>€150-300 per night</t>
  </si>
  <si>
    <t>Piazza Fontana Moresca, 8, 84010 Ravello SA, Italy</t>
  </si>
  <si>
    <t>40.6538344, 14.613053</t>
  </si>
  <si>
    <t>Villa Cimbrone Hotel</t>
  </si>
  <si>
    <t>Exclusive hotel with private evening access to famous gardens, where Bloomsbury Group stayed including Virginia Woolf</t>
  </si>
  <si>
    <t>Most romantic setting on Amalfi Coast, very limited rooms for ultra-private experience</t>
  </si>
  <si>
    <t>€1200-2500 per night</t>
  </si>
  <si>
    <t>Cumpa Cosimo</t>
  </si>
  <si>
    <t>Restaurant (Trattoria)</t>
  </si>
  <si>
    <t>Family-run authentic trattoria with cozy atmosphere, warm local staff serving delicious traditional food</t>
  </si>
  <si>
    <t>Inexpensive but genuine, avoiding tourist traps, reservations recommended for September evenings</t>
  </si>
  <si>
    <t>€30-50 for 2 people</t>
  </si>
  <si>
    <t>Via Roma, 44, 84010 Ravello SA, Italy</t>
  </si>
  <si>
    <t>40.6505182, 14.6114701</t>
  </si>
  <si>
    <t>Garden Ravelo Restaurant</t>
  </si>
  <si>
    <t>Hilltop restaurant with stunning Amalfi Coast views from terrace, romantic setting with authentic coastal flavors</t>
  </si>
  <si>
    <t>Reservation essential for terrace seating, combines views with genuine cuisine</t>
  </si>
  <si>
    <t>12:00 PM - 3:00 PM</t>
  </si>
  <si>
    <t>€80-120 for 2 people</t>
  </si>
  <si>
    <t>Via Giovanni Boccaccio, 4, 84010 Ravello SA, Italy</t>
  </si>
  <si>
    <t>40.64891129999999, 14.6132092</t>
  </si>
  <si>
    <t>Salvatore Ravello 1958</t>
  </si>
  <si>
    <t>Family-run since 1958 serving elevated local cuisine with sea views, sophisticated but not pretentious atmosphere</t>
  </si>
  <si>
    <t>Authentic heritage restaurant, local Campanian wines with sommelier guidance</t>
  </si>
  <si>
    <t>7:30 PM - 11:00 PM</t>
  </si>
  <si>
    <t>€100-150 for 2 people</t>
  </si>
  <si>
    <t>Via della Repubblica, 2, 84010 Ravello SA, Italy</t>
  </si>
  <si>
    <t>40.6495303, 14.6137005</t>
  </si>
  <si>
    <t>Restaurant (Michelin Star)</t>
  </si>
  <si>
    <t>Michelin-starred restaurant at Palazzo Avino, 365 meters above sea level with Mediterranean cuisine</t>
  </si>
  <si>
    <t>Fine dining experience, dress code recommended, advance reservations required</t>
  </si>
  <si>
    <t>€200-300 for 2 people</t>
  </si>
  <si>
    <t>Enotavola Wine Bar</t>
  </si>
  <si>
    <t>Sophisticated wine bar at Palazzo Della Marra with light plates and extensive wine selection</t>
  </si>
  <si>
    <t>Perfect for final toast to Ravello experience, sophisticated atmosphere</t>
  </si>
  <si>
    <t>6:00 PM - 12:00 AM</t>
  </si>
  <si>
    <t>€40-80 for 2 people</t>
  </si>
  <si>
    <t>Via della Marra, 7, 84010 Ravello SA, Italy</t>
  </si>
  <si>
    <t>40.6499964, 14.6110882</t>
  </si>
  <si>
    <t>Ravello Concert Society</t>
  </si>
  <si>
    <t>Cultural Venue</t>
  </si>
  <si>
    <t>🎵</t>
  </si>
  <si>
    <t>Cultural performances and classical music concerts, continuing Ravello's tradition as 'City of Music'</t>
  </si>
  <si>
    <t>Check schedule for September season performances, may extend into September</t>
  </si>
  <si>
    <t>Varies by performance</t>
  </si>
  <si>
    <t>€20-50 per person</t>
  </si>
  <si>
    <t>Local Artisan Shops</t>
  </si>
  <si>
    <t>Local ceramics, limoncello, and artisan products in galleries and shops throughout historic center</t>
  </si>
  <si>
    <t>Browse for authentic local products, peaceful morning exploration</t>
  </si>
  <si>
    <t>10:00 AM - 7:00 PM</t>
  </si>
  <si>
    <t>€10-100 per item</t>
  </si>
  <si>
    <t>Hotel Pellegrino</t>
  </si>
  <si>
    <t>Family-run boutique hotel with 9 rooms, personal hospitality from Luigi and family, restaurant with terrace</t>
  </si>
  <si>
    <t>Highly recommended on Reddit, "like coming home" atmosphere, breakfast and dinner service</t>
  </si>
  <si>
    <t>$200-400 USD/night</t>
  </si>
  <si>
    <t>Via Gennaro Capriglione, 190, 84010 Praiano SA, Italy</t>
  </si>
  <si>
    <t>40.6164155, 14.5218464</t>
  </si>
  <si>
    <t>Manus Praiano</t>
  </si>
  <si>
    <t>Hotel Margherita</t>
  </si>
  <si>
    <t>Family-run hotel since 2007, consistent quality with shuttle service to Marina di Praia</t>
  </si>
  <si>
    <t>Shuttle to beach included, breakfast included, great value option</t>
  </si>
  <si>
    <t>$150-300 USD/night</t>
  </si>
  <si>
    <t>Via Umberto I, 70, 84010 Praiano SA, Italy</t>
  </si>
  <si>
    <t>40.6099533, 14.5299799</t>
  </si>
  <si>
    <t>Modern minimalist luxury hotel, "Coup de Coeur" rating, spectacular cliff views</t>
  </si>
  <si>
    <t>Barefoot luxury concept, excellent spa facilities, contemporary design</t>
  </si>
  <si>
    <t>$800-1500+ USD/night</t>
  </si>
  <si>
    <t>Via Gennaro Capriglione, 147, 84010 Praiano SA, Italy</t>
  </si>
  <si>
    <t>40.6144834, 14.5217222</t>
  </si>
  <si>
    <t>Hotel Onda Verde</t>
  </si>
  <si>
    <t>Romantic 3-pearl destination hotel, favorite for honeymoons with beach path access</t>
  </si>
  <si>
    <t>Path to beach, Restaurant Franchino on-site, various massage services</t>
  </si>
  <si>
    <t>$250-500 USD/night</t>
  </si>
  <si>
    <t>Via Terramare, 3, 84010 Praiano SA, Italy</t>
  </si>
  <si>
    <t>40.6125079, 14.538385</t>
  </si>
  <si>
    <t>Grand Hotel Tritone</t>
  </si>
  <si>
    <t>Classic elegance with modern amenities, cliff-top position with panoramic views</t>
  </si>
  <si>
    <t>Outdoor pool in gardens, private beach access, valet parking</t>
  </si>
  <si>
    <t>$400-800 USD/night</t>
  </si>
  <si>
    <t>Via Campo, 5, 84010 Praiano SA, Italy</t>
  </si>
  <si>
    <t>40.6180127, 14.5164299</t>
  </si>
  <si>
    <t>Villa Orizzonte</t>
  </si>
  <si>
    <t>Private villa rental with incredible outdoor spaces and swimming pool</t>
  </si>
  <si>
    <t>Pool access, beautiful details, strategic location between towns</t>
  </si>
  <si>
    <t>$400-800+ USD/night</t>
  </si>
  <si>
    <t>Via Campo, n.13, 84010 Praiano SA, Italy</t>
  </si>
  <si>
    <t>40.6193464, 14.5150701</t>
  </si>
  <si>
    <t>La Conchiglia</t>
  </si>
  <si>
    <t>B&amp;B</t>
  </si>
  <si>
    <t>Small family-run B&amp;B with stunning sea views and sun-soaked terrace</t>
  </si>
  <si>
    <t>Delicious breakfast included, intimate personal experience</t>
  </si>
  <si>
    <t>Via Marina di Praia, 6, 84010 Furore SA, Italy</t>
  </si>
  <si>
    <t>40.614735, 14.554373</t>
  </si>
  <si>
    <t>Casa Portapenta</t>
  </si>
  <si>
    <t>Vacation Rental</t>
  </si>
  <si>
    <t>🏠</t>
  </si>
  <si>
    <t>Highly-rated Airbnb in historic center with panoramic views</t>
  </si>
  <si>
    <t>Kitchen facilities, neighborhood experience, highly rated</t>
  </si>
  <si>
    <t>Self check-in</t>
  </si>
  <si>
    <t>$282 USD/night</t>
  </si>
  <si>
    <t>Cafe Mirante</t>
  </si>
  <si>
    <t>Small open-air cliff-edge cafe above Gavitella Beach with breathtaking views</t>
  </si>
  <si>
    <t>Best espresso in Praiano, cocktails and ice cream available, perfect for sunset</t>
  </si>
  <si>
    <t>10:30 AM - 10:00 PM</t>
  </si>
  <si>
    <t>$15-30 USD for 2</t>
  </si>
  <si>
    <t>Via Masa, 55, 84010 Praiano SA, Italy</t>
  </si>
  <si>
    <t>40.6139227, 14.5213438</t>
  </si>
  <si>
    <t>Café Novanta Quattro</t>
  </si>
  <si>
    <t>Local neighborhood cafe with authentic Italian atmosphere</t>
  </si>
  <si>
    <t>Less touristy, more local experience, traditional Italian coffee</t>
  </si>
  <si>
    <t>7:00 AM - 8:00 PM</t>
  </si>
  <si>
    <t>$8-15 USD for 2</t>
  </si>
  <si>
    <t>Via Gennaro Capriglione, 94, 84010 Praiano SA, Italy</t>
  </si>
  <si>
    <t>40.6117521, 14.5236009</t>
  </si>
  <si>
    <t>Sibilla Cafe</t>
  </si>
  <si>
    <t>Local cafe offering coffee, gelato and light refreshments</t>
  </si>
  <si>
    <t>Quick coffee stop during exploration, 0.3 miles from central Praiano</t>
  </si>
  <si>
    <t>8:00 AM - 9:00 PM</t>
  </si>
  <si>
    <t>$10-20 USD for 2</t>
  </si>
  <si>
    <t>Casa e Bottega</t>
  </si>
  <si>
    <t>Artisanal coffee shop with healthy options and beautiful Instagram-worthy presentation</t>
  </si>
  <si>
    <t>Aesthetic appeal, combines excellent coffee with photogenic atmosphere</t>
  </si>
  <si>
    <t>8:00 AM - 6:00 PM</t>
  </si>
  <si>
    <t>$20-35 USD for 2</t>
  </si>
  <si>
    <t>Viale Pasitea, 100, 84017 Positano SA, Italy</t>
  </si>
  <si>
    <t>40.63034409999999, 14.4846042</t>
  </si>
  <si>
    <t>Posides</t>
  </si>
  <si>
    <t>Premium coffee and gelato shop with exceptional 4.9/5 rating</t>
  </si>
  <si>
    <t>Highest-rated coffee in area, small high-quality establishment</t>
  </si>
  <si>
    <t>$15-25 USD for 2</t>
  </si>
  <si>
    <t>Viale Pasitea, 157, 84017 Positano SA, Italy</t>
  </si>
  <si>
    <t>40.6284107, 14.4811414</t>
  </si>
  <si>
    <t>Ristorante Franchino</t>
  </si>
  <si>
    <t>🍨</t>
  </si>
  <si>
    <t>Restaurant at Hotel Onda Verde with excellent gelato selection</t>
  </si>
  <si>
    <t>Can combine with meal or drinks, 4.6/5 rating with 731 reviews</t>
  </si>
  <si>
    <t>12:00 PM - 11:00 PM</t>
  </si>
  <si>
    <t>$20-40 USD for 2</t>
  </si>
  <si>
    <t>Via Roma, 10, 84010 Praiano SA, Italy</t>
  </si>
  <si>
    <t>40.6122913, 14.5385018</t>
  </si>
  <si>
    <t>Exceptional gelato shop with 4.9/5 rating, highest-rated in the area</t>
  </si>
  <si>
    <t>Premium gelato experience, small establishment with quality focus</t>
  </si>
  <si>
    <t>$12-20 USD for 2</t>
  </si>
  <si>
    <t>Artisanal gelato with beautiful presentation and aesthetic appeal</t>
  </si>
  <si>
    <t>Instagram-worthy, combines coffee and gelato experience</t>
  </si>
  <si>
    <t>Collina Positano Bakery</t>
  </si>
  <si>
    <t>Bakery with excellent gelato selection, perfect for morning pastry and afternoon gelato combo</t>
  </si>
  <si>
    <t>Traditional bakery setting, local institution</t>
  </si>
  <si>
    <t>7:00 AM - 7:00 PM</t>
  </si>
  <si>
    <t>Via Cristoforo Colombo, 1/3, 84017 Positano SA, Italy</t>
  </si>
  <si>
    <t>40.63014190000001, 14.4859101</t>
  </si>
  <si>
    <t>Cioccolato Andrea Pansa</t>
  </si>
  <si>
    <t>Historic legendary chocolate and gelato shop, traditional Amalfi Coast institution since 1830s</t>
  </si>
  <si>
    <t>Historic significance, traditional recipes, worth the pilgrimage</t>
  </si>
  <si>
    <t>Via Lorenzo D'Amalfi, 1, 84011 Amalfi SA, Italy</t>
  </si>
  <si>
    <t>40.634426, 14.6023791</t>
  </si>
  <si>
    <t>Franco's Bar</t>
  </si>
  <si>
    <t>Trendy chic cocktail bar owned by Le Sirenuse with high views overlooking Positano</t>
  </si>
  <si>
    <t>Arrive at 5 PM for best tables, outdoor terrace closes if raining, no food menu</t>
  </si>
  <si>
    <t>5:00 PM - 1:00 AM</t>
  </si>
  <si>
    <t>$60-100 USD for 2</t>
  </si>
  <si>
    <t>Via Cristoforo Colombo, 30, 84017 Positano SA, Italy</t>
  </si>
  <si>
    <t>40.6288339, 14.4875825</t>
  </si>
  <si>
    <t>Champagne Bar at Le Sirenuse</t>
  </si>
  <si>
    <t>Relaxed elevated bar with creative cocktails and full food menu, spectacular views</t>
  </si>
  <si>
    <t>Enter through hotel lobby, raw bar available, pink grapefruit Mezcal mule recommended</t>
  </si>
  <si>
    <t>6:00 PM - 1:00 AM</t>
  </si>
  <si>
    <t>La Giara Roof Top Bar</t>
  </si>
  <si>
    <t>Exceptional rooftop bar with unbeatable atmosphere, "the best bar in Positano"</t>
  </si>
  <si>
    <t>Bartender Alessio highly recommended, exceptional service and views</t>
  </si>
  <si>
    <t>6:00 PM - 2:00 AM</t>
  </si>
  <si>
    <t>Via S. Giovanni, 18, 84017 Positano SA, Italy</t>
  </si>
  <si>
    <t>40.6281116, 14.4846931</t>
  </si>
  <si>
    <t>Marrakech Bar at Casa Angelina</t>
  </si>
  <si>
    <t>Sophisticated hotel bar with superb coastal views, upscale aperitivo experience</t>
  </si>
  <si>
    <t>Less crowded than Positano options, sophisticated atmosphere</t>
  </si>
  <si>
    <t>5:00 PM - 12:00 AM</t>
  </si>
  <si>
    <t>Vivaro Wine Bar</t>
  </si>
  <si>
    <t>Authentic local wine bar with intimate atmosphere and wine selection</t>
  </si>
  <si>
    <t>More intimate than tourist-focused bars, authentic local experience</t>
  </si>
  <si>
    <t>6:00 PM - 11:00 PM</t>
  </si>
  <si>
    <t>$40-70 USD for 2</t>
  </si>
  <si>
    <t>Via Gennaro Capriglione, 156, 84010 Praiano SA, Italy</t>
  </si>
  <si>
    <t>40.61348280000001, 14.522514</t>
  </si>
  <si>
    <t>Ristorante Bruno</t>
  </si>
  <si>
    <t>Super casual moderately-priced street-side restaurant with high street views</t>
  </si>
  <si>
    <t>Hightop bistro tables along sidewalk, perfect for sunset Peroni or wine</t>
  </si>
  <si>
    <t>$30-50 USD for 2</t>
  </si>
  <si>
    <t>Via Cristoforo Colombo, 157, 84017 Positano SA, Italy</t>
  </si>
  <si>
    <t>40.6283389, 14.4889435</t>
  </si>
  <si>
    <t>Hotel Covo Dei Saraceni</t>
  </si>
  <si>
    <t>Traditional hotel lobby bar with elevated views of Marina Grande Beach</t>
  </si>
  <si>
    <t>Famous iced lemon sorbet served in frozen lemon (day only), traditional decor</t>
  </si>
  <si>
    <t>10:00 AM - 11:00 PM</t>
  </si>
  <si>
    <t>$40-60 USD for 2</t>
  </si>
  <si>
    <t>Via Regina Giovanna, 5, 84017 Positano SA, Italy</t>
  </si>
  <si>
    <t>40.6279487, 14.4863463</t>
  </si>
  <si>
    <t>Il Pirata Ristorante</t>
  </si>
  <si>
    <t>Multi-concept venue with restaurant, lounge bar, and beach club</t>
  </si>
  <si>
    <t>Flexible dining and drinking options, beachside atmosphere</t>
  </si>
  <si>
    <t>Via Terramare, 84010 Praiano SA, Italy</t>
  </si>
  <si>
    <t>40.6120732, 14.5379298</t>
  </si>
  <si>
    <t>La Strada</t>
  </si>
  <si>
    <t>Casual dining with good reputation and 4.5/5 rating from 1,428 reviews</t>
  </si>
  <si>
    <t>Quick lunch during exploration, local favorite</t>
  </si>
  <si>
    <t>Via Gennaro Capriglione, 178, 84010 Praiano SA, Italy</t>
  </si>
  <si>
    <t>40.6141569, 14.5224937</t>
  </si>
  <si>
    <t>La Moressa Italian Bistrò</t>
  </si>
  <si>
    <t>Bistro with lounge atmosphere, 4.4/5 rating from 618 reviews</t>
  </si>
  <si>
    <t>Casual lunch with drinks option, local favorite not touristy</t>
  </si>
  <si>
    <t>$45-65 USD for 2</t>
  </si>
  <si>
    <t>P.zza Moressa, 1, 84010 Praiano SA, Italy</t>
  </si>
  <si>
    <t>40.65141, 14.6972333</t>
  </si>
  <si>
    <t>Da Ferdinando</t>
  </si>
  <si>
    <t>Casual restaurant with local character, 4.4/5 rating from 707 reviews</t>
  </si>
  <si>
    <t>Authentic lunch experience, good for post-hike recovery</t>
  </si>
  <si>
    <t>$50-70 USD for 2</t>
  </si>
  <si>
    <t>Chez Black</t>
  </si>
  <si>
    <t>Trendy upbeat restaurant directly on Marina Grande Beach, celebrity hotspot</t>
  </si>
  <si>
    <t>Make reservations essential, prime people-watching location</t>
  </si>
  <si>
    <t>Via del Brigantino, 19, 84017 Positano SA, Italy</t>
  </si>
  <si>
    <t>40.6280498, 14.4869969</t>
  </si>
  <si>
    <t>Sea view restaurant at Hotel Onda Verde with 4.6/5 rating</t>
  </si>
  <si>
    <t>Sophisticated atmosphere, amazing seafood dishes, memorable setting</t>
  </si>
  <si>
    <t>Bistro atmosphere with authentic Italian cuisine, local favorite</t>
  </si>
  <si>
    <t>Not touristy, authentic experience, 4.4/5 rating</t>
  </si>
  <si>
    <t>La Gavitella Beach Club</t>
  </si>
  <si>
    <t>Private beach club with tranquil escape from crowds, breathtaking Positano and Capri views</t>
  </si>
  <si>
    <t>Signature white sunbeds, restaurant, cooking classes available, shuttle boat access</t>
  </si>
  <si>
    <t>Via Gavitella, 1, 84010 Praiano SA, Italy</t>
  </si>
  <si>
    <t>40.6132028, 14.521447</t>
  </si>
  <si>
    <t>One Fire Beach Club</t>
  </si>
  <si>
    <t>Modern trendy beach club at same Gavitella Beach location</t>
  </si>
  <si>
    <t>Must arrive before 1 PM for reservations, more contemporary option</t>
  </si>
  <si>
    <t>Lido L'Incanto</t>
  </si>
  <si>
    <t>Beach club on Spiaggia Grande with restaurant, two beach clubs, and two bars</t>
  </si>
  <si>
    <t>Central Positano location, lively atmosphere, right on beautiful beach</t>
  </si>
  <si>
    <t>$120-180 USD for 2</t>
  </si>
  <si>
    <t>Via del Brigantino, 4, 84017 Positano SA, Italy</t>
  </si>
  <si>
    <t>40.6278258, 14.4884655</t>
  </si>
  <si>
    <t>More secluded beach club away from center crowds and noise</t>
  </si>
  <si>
    <t>Quieter more intimate experience than main Positano beaches</t>
  </si>
  <si>
    <t>$100-140 USD for 2</t>
  </si>
  <si>
    <t>Marina di Praia Beach</t>
  </si>
  <si>
    <t>Multiple bathing establishments in authentic fishing village setting</t>
  </si>
  <si>
    <t>Authentic maritime character, home to famous Africana dance club</t>
  </si>
  <si>
    <t>Path of the Gods Trailhead</t>
  </si>
  <si>
    <t>Hidden staircase route to famous 11.2km hiking trail to Positano</t>
  </si>
  <si>
    <t>Beside Ceramiche da Mario shop, Via Francesco Russo, early start recommended</t>
  </si>
  <si>
    <t>Dawn to Dusk</t>
  </si>
  <si>
    <t>Sentiero degli Dei, Praiano SA, Italy</t>
  </si>
  <si>
    <t>40.6122233, 14.5292426</t>
  </si>
  <si>
    <t>Grotta dello Smeraldo</t>
  </si>
  <si>
    <t>💎</t>
  </si>
  <si>
    <t>Magical emerald cave with underwater nativity scene, 3km from Praiano</t>
  </si>
  <si>
    <t>Boat tour access, emerald lighting effect, unique experience</t>
  </si>
  <si>
    <t>9:00 AM - 5:00 PM</t>
  </si>
  <si>
    <t>$15-25 USD per person</t>
  </si>
  <si>
    <t>Via Smeraldo, 84010 Conca dei Marini SA, Italy</t>
  </si>
  <si>
    <t>40.6166038, 14.5752597</t>
  </si>
  <si>
    <t>Church of San Luca Evangelista</t>
  </si>
  <si>
    <t>Cultural Site</t>
  </si>
  <si>
    <t>Beautiful church with majolica floor in upper Praiano (Vettica Maggiore)</t>
  </si>
  <si>
    <t>Historic significance, beautiful architecture, local cultural site</t>
  </si>
  <si>
    <t>Piazza San Luca, 84010 Praiano SA, Italy</t>
  </si>
  <si>
    <t>40.6110807, 14.5303098</t>
  </si>
  <si>
    <t>Convent of San Domenico</t>
  </si>
  <si>
    <t>Historic convent along Path of the Gods route, perfect rest stop with views</t>
  </si>
  <si>
    <t>Rest stop during hiking, historic significance, panoramic views</t>
  </si>
  <si>
    <t>Via Campo, 3, 84010 Praiano SA, Italy</t>
  </si>
  <si>
    <t>40.6168807, 14.5202837</t>
  </si>
  <si>
    <t>Amalfi Cathedral</t>
  </si>
  <si>
    <t>Stunning Arab-Norman architecture cathedral with bronze doors</t>
  </si>
  <si>
    <t>Historic maritime republic significance, must-see architecture</t>
  </si>
  <si>
    <t>$3-5 USD per person</t>
  </si>
  <si>
    <t>Piazza Duomo, 1, 84011 Amalfi SA, Italy</t>
  </si>
  <si>
    <t>40.63441539999999, 14.6026131</t>
  </si>
  <si>
    <t>Church of Santa Maria Assunta</t>
  </si>
  <si>
    <t>Main church of Positano with beautiful ceramic dome</t>
  </si>
  <si>
    <t>Central Positano landmark, beautiful architecture, cultural significance</t>
  </si>
  <si>
    <t>8:00 AM - 12:00 PM &amp; 4:00 PM - 7:00 PM</t>
  </si>
  <si>
    <t>Ristorante La Cambusa</t>
  </si>
  <si>
    <t>Seafood / Italian</t>
  </si>
  <si>
    <t>Classic, casual seaside</t>
  </si>
  <si>
    <t>Right near the beach. Fresh fish, grilled veggies, pasta. Easy walk downhill. Great if you want a low-key but tasty dinner.</t>
  </si>
  <si>
    <t>P.za Amerigo Vespucci, 4, 84017 Positano SA, Italy</t>
  </si>
  <si>
    <t>40.6281008, 14.4871033</t>
  </si>
  <si>
    <t>Positano Night 1 Restaurants</t>
  </si>
  <si>
    <t>Healthier / Light</t>
  </si>
  <si>
    <t>Bright, modern</t>
  </si>
  <si>
    <t>About 3–5 min from Savoia. Known for lighter Mediterranean dishes. Great if you want something refreshing post-cooking class. Open till ~9:30pm.</t>
  </si>
  <si>
    <t>Ristorante Il Capitano</t>
  </si>
  <si>
    <t>Seafood</t>
  </si>
  <si>
    <t>Romantic, sea view</t>
  </si>
  <si>
    <t>Slightly uphill (7–10 min walk), nice for a peaceful, scenic dinner if you still have an appetite. Good for wine and a shared dish.</t>
  </si>
  <si>
    <t>Viale Pasitea, 119, 84017 Positano SA, Italy</t>
  </si>
  <si>
    <t>40.6274108, 14.4845181</t>
  </si>
  <si>
    <t>Ristorante Da Bruno</t>
  </si>
  <si>
    <t>Italian trattoria</t>
  </si>
  <si>
    <t>Casual-local</t>
  </si>
  <si>
    <t>Just up Viale Pasitea. Friendly, informal, traditional Amalfi fare. Good for post-travel ease.</t>
  </si>
  <si>
    <t>Il Tridente Positano</t>
  </si>
  <si>
    <t>Italian/Seafood</t>
  </si>
  <si>
    <t>Terrace</t>
  </si>
  <si>
    <t>Found on Maps, nearby, cool terrace outside</t>
  </si>
  <si>
    <t>Viale Pasitea, 140, 84017 Positano SA, Italy</t>
  </si>
  <si>
    <t>40.6288985, 14.4849206</t>
  </si>
  <si>
    <t>Grassi Junior Boat Rental</t>
  </si>
  <si>
    <t>Boat Rental</t>
  </si>
  <si>
    <t>🚤</t>
  </si>
  <si>
    <t>Via Regina Giovanna, 84017 Positano SA, Italy</t>
  </si>
  <si>
    <t>40.6278626, 14.4864473</t>
  </si>
  <si>
    <t>Open-Air Cocktail Bar</t>
  </si>
  <si>
    <t>Location: Next to Le Sirenuse hotel
Vibe: Upscale open-air cocktail bar with panoramic views
Music: Chill, often ambient or jazz
Dress code: Smart casual — it’s trendy and photogenic
Hours: 5:30 PM–midnight
Cost: Cocktails ~€22–28
Tip: Arrive right at opening for best seats at sunset — no reservations accepted</t>
  </si>
  <si>
    <t>Music on the Rocks</t>
  </si>
  <si>
    <t>Club</t>
  </si>
  <si>
    <t>🪩</t>
  </si>
  <si>
    <t>Location: Built into a cliff below Spiaggia Grande
Vibe: The only real club in Positano — starts as a restaurant/lounge and becomes a dance club late at night.
Music: International DJs, house, pop, reggaeton, some Italian classics
Dress code: Stylish — dressy casual to chic (no flip flops)
Hours: Often 11 PM–4 AM in high season
Cost: Drinks ~€15–20; cover charge some nights
Tip: Very popular with younger Italians and tourists; best on Fridays &amp; Saturdays</t>
  </si>
  <si>
    <t>Località Grotte Dell'incanto, 51, 84017, 84017 Positano SA, Italy</t>
  </si>
  <si>
    <t>Il Capitano</t>
  </si>
  <si>
    <t>Sophisticated restaurant offering innovative seafood dishes and featuring a terrace with sea views.</t>
  </si>
  <si>
    <t>Taverna Anema e Core</t>
  </si>
  <si>
    <t>Night Club</t>
  </si>
  <si>
    <t>Recommended by dentist.</t>
  </si>
  <si>
    <t>Via Sella Orta, 1, 80073 Capri NA, Italy</t>
  </si>
  <si>
    <t>40.5501048, 14.2440422</t>
  </si>
  <si>
    <t>La Sponda (Le Sirenuse)</t>
  </si>
  <si>
    <t>Restaurant (dinner)</t>
  </si>
  <si>
    <t>⭐️</t>
  </si>
  <si>
    <t>Michelin-starred fine dining with candlelit ambiance and breathtaking cliffside views.</t>
  </si>
  <si>
    <t>Dress up; reserve well in advance; ideal for romantic occasions.</t>
  </si>
  <si>
    <t>19:30–22:30</t>
  </si>
  <si>
    <t>$300–$500</t>
  </si>
  <si>
    <t>ChatGPT - https://chatgpt.com/s/t_686efd6a5ecc8191b16825df7c36ebfb</t>
  </si>
  <si>
    <t>La Serra (Hotel Le Agavi)</t>
  </si>
  <si>
    <t>Elegant terrace dining with refined cuisine and stunning views from Hotel Le Agavi.</t>
  </si>
  <si>
    <t>Michelin-starred; ideal for a serene and upscale evening.</t>
  </si>
  <si>
    <t>$250–$400</t>
  </si>
  <si>
    <t>V. G. Marconi, 171, 84017 Positano SA, Italy</t>
  </si>
  <si>
    <t>40.629573, 14.4822525</t>
  </si>
  <si>
    <t>Remmese</t>
  </si>
  <si>
    <t>Seaside restaurant with romantic vibes and creative takes on Mediterranean dishes.</t>
  </si>
  <si>
    <t>Perfect for an intimate date night.</t>
  </si>
  <si>
    <t>19:00–22:00</t>
  </si>
  <si>
    <t>$200–$350</t>
  </si>
  <si>
    <t>Saraceno d’Oro</t>
  </si>
  <si>
    <t>Family-run trattoria known for wood-fired pizza and seafood pasta.</t>
  </si>
  <si>
    <t>Book ahead and ask for outdoor terrace; great value.</t>
  </si>
  <si>
    <t>12:00–15:00, 18:30–23:00</t>
  </si>
  <si>
    <t>$60–$100</t>
  </si>
  <si>
    <t>Viale Pasitea, 254, 84017 Positano SA, Italy</t>
  </si>
  <si>
    <t>40.6285642, 14.4809475</t>
  </si>
  <si>
    <t>Cliffside dining with a cozy atmosphere and traditional Amalfi cuisine.</t>
  </si>
  <si>
    <t>Great views—request a terrace table when reserving.</t>
  </si>
  <si>
    <t>12:00–15:30, 18:30–23:00</t>
  </si>
  <si>
    <t>$80–$120</t>
  </si>
  <si>
    <t>Da Vincenzo</t>
  </si>
  <si>
    <t>Beloved local favorite for homestyle cooking and warm hospitality.</t>
  </si>
  <si>
    <t>Very popular—reserve in advance.</t>
  </si>
  <si>
    <t>12:30–15:00, 18:30–23:00</t>
  </si>
  <si>
    <t>$80–$130</t>
  </si>
  <si>
    <t>Viale Pasitea, 172/178, 84017 Positano SA, Italy</t>
  </si>
  <si>
    <t>40.62774539999999, 14.4850447</t>
  </si>
  <si>
    <t>Dinner: Looks nice, 4.5 on Google</t>
  </si>
  <si>
    <t>Adamo &amp; Eva</t>
  </si>
  <si>
    <t>Well-rated dinner spot with romantic lighting and a strong local following.</t>
  </si>
  <si>
    <t>Reserve early for sunset views.</t>
  </si>
  <si>
    <t>19:00–22:30</t>
  </si>
  <si>
    <t>$120–$160</t>
  </si>
  <si>
    <t>V. G. Marconi, 108, 84017 Positano SA, Italy</t>
  </si>
  <si>
    <t>Dinner: Nice Terrace, Rick Steves  forum approved</t>
  </si>
  <si>
    <t>Lively beachfront eatery famous for seafood, pizza, and fun vibes.</t>
  </si>
  <si>
    <t>No dress code; casual and energetic scene.</t>
  </si>
  <si>
    <t>12:00–23:00</t>
  </si>
  <si>
    <t>$70–$100</t>
  </si>
  <si>
    <t>Mediterraneo</t>
  </si>
  <si>
    <t>Family-run, cozy restaurant with live music and a charming atmosphere.</t>
  </si>
  <si>
    <t>Reserve ahead for live music nights.</t>
  </si>
  <si>
    <t>19:00–23:00</t>
  </si>
  <si>
    <t>$80–$110</t>
  </si>
  <si>
    <t>Viale Pasitea, 236, 84017 Positano SA, Italy</t>
  </si>
  <si>
    <t>40.6282707, 14.4821287</t>
  </si>
  <si>
    <t>Farm-to-table, fixed-menu feast with stunning hilltop views.</t>
  </si>
  <si>
    <t>Reservation + shuttle required; no à la carte—huge portions.</t>
  </si>
  <si>
    <t>12:00–15:00, 18:00–23:00</t>
  </si>
  <si>
    <t>$70–$90</t>
  </si>
  <si>
    <t>Villa Margherita</t>
  </si>
  <si>
    <t>Tucked away under olive trees, cozy and scenic with great seafood and pasta</t>
  </si>
  <si>
    <t>Delicious, authentic Italian cuisine in a beautiful, low‑key setting.</t>
  </si>
  <si>
    <t>Dinner: selected for dinner in Capri by Chelsea</t>
  </si>
  <si>
    <t>Ristorante Pizzeria Verginiello</t>
  </si>
  <si>
    <t>Restaurant (lunch)</t>
  </si>
  <si>
    <t>Traditional ravioli Capresi or pizza in a friendly, local eatery.</t>
  </si>
  <si>
    <t>Il Piccolo Bar</t>
  </si>
  <si>
    <t>Restaurant (breakfast)</t>
  </si>
  <si>
    <t xml:space="preserve">Grab an espresso or limoncello‑brightened cornetto </t>
  </si>
  <si>
    <t>Capri Rooftop</t>
  </si>
  <si>
    <t>Sweeping sea views and signature cocktails.</t>
  </si>
  <si>
    <t>Apertivo</t>
  </si>
  <si>
    <t>Buca di Bacco</t>
  </si>
  <si>
    <t>Restauarant (dinner)</t>
  </si>
  <si>
    <t>Recommended by Chelsea's colleague</t>
  </si>
  <si>
    <t>Chelsea's Colleague</t>
  </si>
  <si>
    <t>Dinner: Recommended by Jeff</t>
  </si>
  <si>
    <t>50 Kalò</t>
  </si>
  <si>
    <t>Legendary modern Neapolitan pizza with casual vibes.</t>
  </si>
  <si>
    <t>Go early to avoid long wait; very popular.</t>
  </si>
  <si>
    <t>12:30–15:30, 19:00–23:30</t>
  </si>
  <si>
    <t>$25–40</t>
  </si>
  <si>
    <t>https://chatgpt.com/s/t_68b0b7b515c48191905687316b20c660</t>
  </si>
  <si>
    <t>Fresco Trattoria Pizzeria</t>
  </si>
  <si>
    <t>Cozy and authentic trattoria known for great local food.</t>
  </si>
  <si>
    <t>Reliable and less crowded than famous pizzerias.</t>
  </si>
  <si>
    <t>12:00–15:30, 19:00–00:00</t>
  </si>
  <si>
    <t>$40–60</t>
  </si>
  <si>
    <t>Via Partenope, 8, 80121 Napoli NA, Italy</t>
  </si>
  <si>
    <t>40.8315305, 14.2432932</t>
  </si>
  <si>
    <t>Vincenzo Capuano Lungomare</t>
  </si>
  <si>
    <t>Modern pizzeria with excellent dough and seaside view.</t>
  </si>
  <si>
    <t>Great for a relaxed meal along the water.</t>
  </si>
  <si>
    <t>12:00–00:00</t>
  </si>
  <si>
    <t>$30–50</t>
  </si>
  <si>
    <t>P.zza Vittoria, 8, 80121 Napoli NA, Italy</t>
  </si>
  <si>
    <t>40.8320869, 14.2418338</t>
  </si>
  <si>
    <t>Gino Sorbillo Lievito Madre al Mare</t>
  </si>
  <si>
    <t>Seaside outpost of the famed Sorbillo pizzeria brand.</t>
  </si>
  <si>
    <t>Not quite same quality as historic Sorbillo, but still good.</t>
  </si>
  <si>
    <t>$30–45</t>
  </si>
  <si>
    <t>Via Partenope, 1A, 80121 Napoli NA, Italy</t>
  </si>
  <si>
    <t>40.8317152, 14.2417292</t>
  </si>
  <si>
    <t>Vineria Bandita</t>
  </si>
  <si>
    <t>Intimate wine bar with rare labels and local snacks.</t>
  </si>
  <si>
    <t>Great for a cozy, rainy evening.</t>
  </si>
  <si>
    <t>18:00–00:00</t>
  </si>
  <si>
    <t>$30–60</t>
  </si>
  <si>
    <t>Via Michele Kerbaker, 57, 80129 Napoli NA, Italy</t>
  </si>
  <si>
    <t>40.844468, 14.232614</t>
  </si>
  <si>
    <t>Gran Caffè Gambrinus</t>
  </si>
  <si>
    <t>Historic coffeehouse with grand interiors and pastries.</t>
  </si>
  <si>
    <t>Order sfogliatella and espresso. Classic Naples experience.</t>
  </si>
  <si>
    <t>07:00–00:00</t>
  </si>
  <si>
    <t>$20–30</t>
  </si>
  <si>
    <t>Price per Night (Aug/Sep)</t>
  </si>
  <si>
    <t>Ferry Access (1-10)</t>
  </si>
  <si>
    <t>da Paolino (1-10)</t>
  </si>
  <si>
    <t>Il Riccio (1-10)</t>
  </si>
  <si>
    <t>La Fontelina (1-10)</t>
  </si>
  <si>
    <t>Boat Day (1-10)</t>
  </si>
  <si>
    <t>Da Gioia (1-10)</t>
  </si>
  <si>
    <t>L'Olivo &amp; Monte Solaro (1-10)</t>
  </si>
  <si>
    <t>€800-1200</t>
  </si>
  <si>
    <t>Yes (Da Gioia)</t>
  </si>
  <si>
    <t>J.K. Place Capri</t>
  </si>
  <si>
    <t>€400-600</t>
  </si>
  <si>
    <t>No</t>
  </si>
  <si>
    <t>La Minerva</t>
  </si>
  <si>
    <t>€250-400</t>
  </si>
  <si>
    <t>€500-1200</t>
  </si>
  <si>
    <t>€800-1500</t>
  </si>
  <si>
    <t>€400-800</t>
  </si>
  <si>
    <t>Casa Boutique by Capri 5 Senses</t>
  </si>
  <si>
    <t>€200-350</t>
  </si>
  <si>
    <t>Capri Palace Hotel</t>
  </si>
  <si>
    <t>€600-1500</t>
  </si>
  <si>
    <t>Airbnb in Anacapri</t>
  </si>
  <si>
    <t>€100-300</t>
  </si>
  <si>
    <t>Rating</t>
  </si>
  <si>
    <t>Villa Margherita by Belmond</t>
  </si>
  <si>
    <t>Palazzo M</t>
  </si>
  <si>
    <t>Villa Barluzzi</t>
  </si>
  <si>
    <t>Villa Maria</t>
  </si>
  <si>
    <t>Unavailable</t>
  </si>
  <si>
    <t>Hotel Rufolo*</t>
  </si>
  <si>
    <t>1105-1072</t>
  </si>
  <si>
    <t>4 star</t>
  </si>
  <si>
    <t>Sea view on Chase</t>
  </si>
  <si>
    <t>Palazzo Confalone</t>
  </si>
  <si>
    <t>5 star</t>
  </si>
  <si>
    <t>Gemini: Amalfi vs Puglia or both</t>
  </si>
  <si>
    <t>Research TODO:</t>
  </si>
  <si>
    <t>Amalfi Towns: Ravello, Praiano, or Conca dei Marini, Capri</t>
  </si>
  <si>
    <t>ChatGPT: Initial Research</t>
  </si>
  <si>
    <t>✅</t>
  </si>
  <si>
    <t>Research individual towns in Puglia</t>
  </si>
  <si>
    <t>Ask Manus/Gemini to compile all best restaurants, cafes, activitys, thermal pools, wineries, wine tasting classes, cooking classes, etc popular on instagram</t>
  </si>
  <si>
    <t>Apple Notes: Instagram Inspiration Links</t>
  </si>
  <si>
    <t>Notebook LM: Ask it to extract all locations from YouTube videos added</t>
  </si>
  <si>
    <t>Manus: Initial Research</t>
  </si>
  <si>
    <t>Finalize list of towns and days in each</t>
  </si>
  <si>
    <t>Booking TODO</t>
  </si>
  <si>
    <t>Flights</t>
  </si>
  <si>
    <t>Time Off</t>
  </si>
  <si>
    <t>Book essential spots</t>
  </si>
  <si>
    <t>https://paolinocapri.com/en/prenota-un-tavolo/</t>
  </si>
  <si>
    <t>Can you also recommend a mix of spots nearby that are in our general area and might be good to know about in case we are feeling spontaneous (so not as itinerary-oriented and more options list). Think places like renowned cafes, pizzerias, gelato shops, shopping places, wine windows, rooftop bars, wine bars, etc. Anything casual that might be fun to visit quickly while attending to a larger agenda. Can you come up with at least three (but preferably more reservations for each?</t>
  </si>
  <si>
    <t>Rent Boat</t>
  </si>
  <si>
    <t>Vibe</t>
  </si>
  <si>
    <t>Notes</t>
  </si>
  <si>
    <t>6 mins</t>
  </si>
  <si>
    <t>1 min</t>
  </si>
  <si>
    <t>4 mins</t>
  </si>
  <si>
    <t>16 mins</t>
  </si>
  <si>
    <t>11 mins</t>
  </si>
  <si>
    <t>14 mins</t>
  </si>
  <si>
    <t>Valle dei Mulini</t>
  </si>
  <si>
    <t>Pizzeria / trattoria</t>
  </si>
  <si>
    <t>Casual, quick</t>
  </si>
  <si>
    <t>Closed? Around the corner from Savoia. Simple pizza, pasta, and wine. Solid backup plan if you're tired. Affordable.</t>
  </si>
  <si>
    <t>6 hours 7 mins</t>
  </si>
  <si>
    <t>1 hour 2 mins</t>
  </si>
  <si>
    <t>5 mins</t>
  </si>
  <si>
    <t>Terrace, Mellow, Grown up</t>
  </si>
  <si>
    <r>
      <rPr/>
      <t xml:space="preserve">Found on Maps, nearby, cool terrace outside. Later mentioned by ChatGPT - </t>
    </r>
    <r>
      <rPr>
        <color rgb="FF1155CC"/>
        <u/>
      </rPr>
      <t>good for a nightcap.</t>
    </r>
  </si>
  <si>
    <t>8 mins</t>
  </si>
  <si>
    <t>15 mins</t>
  </si>
  <si>
    <t>ChatGPT Convo</t>
  </si>
  <si>
    <t>🕰️ Hours</t>
  </si>
  <si>
    <t>Most of these spots serve dinner starting 7:00–7:30 PM and remain open until 10:30–11:00 PM in September. No strict reservation needed for the casual ones, but call ahead for Il Capitano or La Cambusa if you'd prefer a terrace table.</t>
  </si>
  <si>
    <t>✅ Recommendation</t>
  </si>
  <si>
    <r>
      <rPr>
        <rFont val="Arial"/>
        <color theme="1"/>
      </rPr>
      <t>If you're tired and full but want a good vibe, Casa e Bottega or</t>
    </r>
    <r>
      <rPr>
        <rFont val="Arial"/>
        <strike/>
        <color theme="1"/>
      </rPr>
      <t xml:space="preserve"> Valle dei Mulini</t>
    </r>
    <r>
      <rPr>
        <rFont val="Arial"/>
        <color theme="1"/>
      </rPr>
      <t xml:space="preserve"> are perfect.</t>
    </r>
  </si>
  <si>
    <t>If you still want a proper sit-down meal with some wine and views, La Cambusa is the best mix of ease + quality right on the beach.</t>
  </si>
  <si>
    <t>Let me know if you want help calling or emailing one of them to hold a table.</t>
  </si>
  <si>
    <r>
      <rPr/>
      <t xml:space="preserve">ChatGPT - </t>
    </r>
    <r>
      <rPr>
        <color rgb="FF1155CC"/>
        <u/>
      </rPr>
      <t>https://chatgpt.com/c/6846f0da-7884-8009-ad13-dba01dfa021d</t>
    </r>
  </si>
  <si>
    <r>
      <rPr/>
      <t xml:space="preserve">ChatGPT - </t>
    </r>
    <r>
      <rPr>
        <color rgb="FF1155CC"/>
        <u/>
      </rPr>
      <t>https://chatgpt.com/c/6846f0da-7884-8009-ad13-dba01dfa021d</t>
    </r>
  </si>
  <si>
    <r>
      <t>Mon–Sat 12:00–15:30 &amp; 19:00–23:30; Sun closed (</t>
    </r>
    <r>
      <rPr>
        <color rgb="FF1155CC"/>
        <u/>
      </rPr>
      <t>fontelina-capri.com</t>
    </r>
    <r>
      <rPr/>
      <t xml:space="preserve">, </t>
    </r>
    <r>
      <rPr>
        <color rgb="FF1155CC"/>
        <u/>
      </rPr>
      <t>happycow.net</t>
    </r>
    <r>
      <rPr/>
      <t xml:space="preserve">, </t>
    </r>
    <r>
      <rPr>
        <color rgb="FF1155CC"/>
        <u/>
      </rPr>
      <t>perplexity.ai</t>
    </r>
    <r>
      <rPr/>
      <t xml:space="preserve">, </t>
    </r>
    <r>
      <rPr>
        <color rgb="FF1155CC"/>
        <u/>
      </rPr>
      <t>tripadvisor.com</t>
    </r>
    <r>
      <rPr/>
      <t>)</t>
    </r>
  </si>
  <si>
    <r>
      <rPr/>
      <t xml:space="preserve">ChatGPT - </t>
    </r>
    <r>
      <rPr>
        <color rgb="FF1155CC"/>
        <u/>
      </rPr>
      <t>https://chatgpt.com/c/6846f0da-7884-8009-ad13-dba01dfa021d</t>
    </r>
  </si>
  <si>
    <r>
      <rPr/>
      <t xml:space="preserve">ChatGPT - </t>
    </r>
    <r>
      <rPr>
        <color rgb="FF1155CC"/>
        <u/>
      </rPr>
      <t>https://chatgpt.com/c/6846f0da-7884-8009-ad13-dba01dfa021d</t>
    </r>
  </si>
  <si>
    <r>
      <rPr/>
      <t xml:space="preserve">ChatGPT - </t>
    </r>
    <r>
      <rPr>
        <color rgb="FF1155CC"/>
        <u/>
      </rPr>
      <t>https://chatgpt.com/c/6846f0da-7884-8009-ad13-dba01dfa021d</t>
    </r>
  </si>
  <si>
    <r>
      <rPr/>
      <t xml:space="preserve">ChatGPT - </t>
    </r>
    <r>
      <rPr>
        <color rgb="FF1155CC"/>
        <u/>
      </rPr>
      <t>https://chatgpt.com/c/6846f0da-7884-8009-ad13-dba01dfa021d</t>
    </r>
  </si>
  <si>
    <r>
      <rPr/>
      <t xml:space="preserve">ChatGPT - </t>
    </r>
    <r>
      <rPr>
        <color rgb="FF1155CC"/>
        <u/>
      </rPr>
      <t>https://chatgpt.com/c/6846f0da-7884-8009-ad13-dba01dfa021d</t>
    </r>
  </si>
  <si>
    <r>
      <rPr/>
      <t xml:space="preserve">ChatGPT - </t>
    </r>
    <r>
      <rPr>
        <color rgb="FF1155CC"/>
        <u/>
      </rPr>
      <t>https://chatgpt.com/c/6846f0da-7884-8009-ad13-dba01dfa021d</t>
    </r>
  </si>
  <si>
    <r>
      <rPr/>
      <t xml:space="preserve">ChatGPT - </t>
    </r>
    <r>
      <rPr>
        <color rgb="FF1155CC"/>
        <u/>
      </rPr>
      <t>https://chatgpt.com/c/6846f0da-7884-8009-ad13-dba01dfa021d</t>
    </r>
  </si>
  <si>
    <r>
      <rPr/>
      <t xml:space="preserve">ChatGPT - </t>
    </r>
    <r>
      <rPr>
        <color rgb="FF1155CC"/>
        <u/>
      </rPr>
      <t>https://chatgpt.com/c/6846f0da-7884-8009-ad13-dba01dfa021d</t>
    </r>
  </si>
  <si>
    <r>
      <rPr/>
      <t xml:space="preserve">ChatGPT - </t>
    </r>
    <r>
      <rPr>
        <color rgb="FF1155CC"/>
        <u/>
      </rPr>
      <t>https://chatgpt.com/c/6846f0da-7884-8009-ad13-dba01dfa021d</t>
    </r>
  </si>
  <si>
    <r>
      <rPr/>
      <t xml:space="preserve">ChatGPT - </t>
    </r>
    <r>
      <rPr>
        <color rgb="FF1155CC"/>
        <u/>
      </rPr>
      <t>https://chatgpt.com/c/6846f0da-7884-8009-ad13-dba01dfa021d</t>
    </r>
  </si>
  <si>
    <r>
      <rPr/>
      <t xml:space="preserve">ChatGPT - </t>
    </r>
    <r>
      <rPr>
        <color rgb="FF1155CC"/>
        <u/>
      </rPr>
      <t>https://chatgpt.com/c/6846f0da-7884-8009-ad13-dba01dfa021d</t>
    </r>
  </si>
  <si>
    <r>
      <rPr/>
      <t xml:space="preserve">ChatGPT - </t>
    </r>
    <r>
      <rPr>
        <color rgb="FF1155CC"/>
        <u/>
      </rPr>
      <t>https://chatgpt.com/c/6846f0da-7884-8009-ad13-dba01dfa021d</t>
    </r>
  </si>
  <si>
    <r>
      <rPr/>
      <t xml:space="preserve">ChatGPT - </t>
    </r>
    <r>
      <rPr>
        <color rgb="FF1155CC"/>
        <u/>
      </rPr>
      <t>https://chatgpt.com/c/6846f0da-7884-8009-ad13-dba01dfa021d</t>
    </r>
  </si>
  <si>
    <r>
      <rPr/>
      <t xml:space="preserve">ChatGPT - </t>
    </r>
    <r>
      <rPr>
        <color rgb="FF1155CC"/>
        <u/>
      </rPr>
      <t>https://chatgpt.com/c/6846f0da-7884-8009-ad13-dba01dfa021d</t>
    </r>
  </si>
  <si>
    <r>
      <rPr/>
      <t xml:space="preserve">ChatGPT - </t>
    </r>
    <r>
      <rPr>
        <color rgb="FF1155CC"/>
        <u/>
      </rPr>
      <t>https://chatgpt.com/c/6846f0da-7884-8009-ad13-dba01dfa021d</t>
    </r>
  </si>
  <si>
    <r>
      <rPr/>
      <t xml:space="preserve">ChatGPT - </t>
    </r>
    <r>
      <rPr>
        <color rgb="FF1155CC"/>
        <u/>
      </rPr>
      <t>https://chatgpt.com/c/6846f0da-7884-8009-ad13-dba01dfa021d</t>
    </r>
  </si>
  <si>
    <r>
      <rPr/>
      <t xml:space="preserve">ChatGPT - </t>
    </r>
    <r>
      <rPr>
        <color rgb="FF1155CC"/>
        <u/>
      </rPr>
      <t>https://chatgpt.com/c/6846f0da-7884-8009-ad13-dba01dfa021d</t>
    </r>
  </si>
  <si>
    <r>
      <rPr/>
      <t xml:space="preserve">ChatGPT - </t>
    </r>
    <r>
      <rPr>
        <color rgb="FF1155CC"/>
        <u/>
      </rPr>
      <t>https://chatgpt.com/c/6846f0da-7884-8009-ad13-dba01dfa021d</t>
    </r>
  </si>
  <si>
    <r>
      <rPr/>
      <t xml:space="preserve">ChatGPT - </t>
    </r>
    <r>
      <rPr>
        <color rgb="FF1155CC"/>
        <u/>
      </rPr>
      <t>https://chatgpt.com/c/6846f0da-7884-8009-ad13-dba01dfa021d</t>
    </r>
  </si>
  <si>
    <r>
      <rPr/>
      <t xml:space="preserve">ChatGPT - </t>
    </r>
    <r>
      <rPr>
        <color rgb="FF1155CC"/>
        <u/>
      </rPr>
      <t>https://chatgpt.com/c/6846f0da-7884-8009-ad13-dba01dfa021d</t>
    </r>
  </si>
  <si>
    <r>
      <rPr/>
      <t xml:space="preserve">ChatGPT - </t>
    </r>
    <r>
      <rPr>
        <color rgb="FF1155CC"/>
        <u/>
      </rPr>
      <t>https://chatgpt.com/c/6846f0da-7884-8009-ad13-dba01dfa021d</t>
    </r>
  </si>
  <si>
    <r>
      <rPr/>
      <t xml:space="preserve">ChatGPT - </t>
    </r>
    <r>
      <rPr>
        <color rgb="FF1155CC"/>
        <u/>
      </rPr>
      <t>https://chatgpt.com/c/6846f0da-7884-8009-ad13-dba01dfa021d</t>
    </r>
  </si>
  <si>
    <t>City</t>
  </si>
  <si>
    <t>Hours of Operation</t>
  </si>
  <si>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</si>
  <si>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</si>
  <si>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</si>
  <si>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</si>
  <si>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</si>
  <si>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</si>
  <si>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</si>
  <si>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</si>
  <si>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</si>
  <si>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</si>
  <si>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</si>
  <si>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</si>
  <si>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</si>
  <si>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</si>
  <si>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</si>
  <si>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</si>
  <si>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</si>
  <si>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</si>
  <si>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</si>
  <si>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</si>
  <si>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</si>
  <si>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</si>
  <si>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</si>
  <si>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</si>
  <si>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</si>
  <si>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</si>
  <si>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</si>
  <si>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</si>
  <si>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</si>
  <si>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</si>
  <si>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</si>
  <si>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</si>
  <si>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</si>
  <si>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</si>
  <si>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</si>
  <si>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</si>
  <si>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</si>
  <si>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</si>
  <si>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</si>
  <si>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</si>
  <si>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</si>
  <si>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</si>
  <si>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</si>
  <si>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</si>
  <si>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</si>
  <si>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</si>
  <si>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</si>
  <si>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</si>
  <si>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</si>
  <si>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</si>
  <si>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</si>
  <si>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</si>
  <si>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</si>
  <si>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</si>
  <si>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</si>
  <si>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</si>
  <si>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</si>
  <si>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</si>
  <si>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</si>
  <si>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</si>
  <si>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</si>
  <si>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</si>
  <si>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</si>
  <si>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</si>
  <si>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</si>
  <si>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Manus - </t>
    </r>
    <r>
      <rPr>
        <color rgb="FF1155CC"/>
        <u/>
      </rPr>
      <t>https://manus.im/app/KJC6Ixn9ZFEgpriWR1GDzd</t>
    </r>
  </si>
  <si>
    <r>
      <rPr/>
      <t xml:space="preserve">YouTube (Is The Amalfi Coast Worth It?) - </t>
    </r>
    <r>
      <rPr>
        <color rgb="FF1155CC"/>
        <u/>
      </rPr>
      <t>https://www.youtube.com/watch?v=qEqWVNdIqKA&amp;list=TLGGTjGW-qj9EhUxMDA2MjAyNQ</t>
    </r>
  </si>
  <si>
    <r>
      <rPr/>
      <t xml:space="preserve">YouTube (Is The Amalfi Coast Worth It?) - </t>
    </r>
    <r>
      <rPr>
        <color rgb="FF1155CC"/>
        <u/>
      </rPr>
      <t>https://www.youtube.com/watch?v=qEqWVNdIqKA&amp;list=TLGGTjGW-qj9EhUxMDA2MjAyNQ</t>
    </r>
  </si>
  <si>
    <r>
      <rPr/>
      <t xml:space="preserve">YouTube (Is The Amalfi Coast Worth It?) - </t>
    </r>
    <r>
      <rPr>
        <color rgb="FF1155CC"/>
        <u/>
      </rPr>
      <t>https://www.youtube.com/watch?v=qEqWVNdIqKA&amp;list=TLGGTjGW-qj9EhUxMDA2MjAyNQ</t>
    </r>
  </si>
  <si>
    <r>
      <rPr/>
      <t xml:space="preserve">YouTube (Top 10 Places on the Amalfi Coast) - </t>
    </r>
    <r>
      <rPr>
        <color rgb="FF1155CC"/>
        <u/>
      </rPr>
      <t>https://www.youtube.com/watch?v=Mupom-sgjAU&amp;list=TLGGuW2Fx0IJe4YxMDA2MjAyNQ</t>
    </r>
  </si>
  <si>
    <r>
      <rPr/>
      <t xml:space="preserve">YouTube (Top 10 Places on the Amalfi Coast) - </t>
    </r>
    <r>
      <rPr>
        <color rgb="FF1155CC"/>
        <u/>
      </rPr>
      <t>https://www.youtube.com/watch?v=Mupom-sgjAU&amp;list=TLGGuW2Fx0IJe4YxMDA2MjAyNQ</t>
    </r>
  </si>
  <si>
    <r>
      <rPr/>
      <t xml:space="preserve">YouTube (Top 10 Places on the Amalfi Coast) - </t>
    </r>
    <r>
      <rPr>
        <color rgb="FF1155CC"/>
        <u/>
      </rPr>
      <t>https://www.youtube.com/watch?v=Mupom-sgjAU&amp;list=TLGGuW2Fx0IJe4YxMDA2MjAyNQ</t>
    </r>
  </si>
  <si>
    <r>
      <rPr/>
      <t xml:space="preserve">YouTube (Top 10 Places on the Amalfi Coast) - </t>
    </r>
    <r>
      <rPr>
        <color rgb="FF1155CC"/>
        <u/>
      </rPr>
      <t>https://www.youtube.com/watch?v=Mupom-sgjAU&amp;list=TLGGuW2Fx0IJe4YxMDA2MjAyNQ</t>
    </r>
  </si>
  <si>
    <r>
      <rPr/>
      <t xml:space="preserve">YouTube (Top 10 Places on the Amalfi Coast) - </t>
    </r>
    <r>
      <rPr>
        <color rgb="FF1155CC"/>
        <u/>
      </rPr>
      <t>https://www.youtube.com/watch?v=Mupom-sgjAU&amp;list=TLGGuW2Fx0IJe4YxMDA2MjAyNQ</t>
    </r>
  </si>
  <si>
    <r>
      <rPr/>
      <t xml:space="preserve">YouTube (Top 10 Places on the Amalfi Coast) - </t>
    </r>
    <r>
      <rPr>
        <color rgb="FF1155CC"/>
        <u/>
      </rPr>
      <t>https://www.youtube.com/watch?v=Mupom-sgjAU&amp;list=TLGGuW2Fx0IJe4YxMDA2MjAyNQ</t>
    </r>
  </si>
  <si>
    <r>
      <rPr/>
      <t xml:space="preserve">YouTube (Top 10 Places on the Amalfi Coast) - </t>
    </r>
    <r>
      <rPr>
        <color rgb="FF1155CC"/>
        <u/>
      </rPr>
      <t>https://www.youtube.com/watch?v=Mupom-sgjAU&amp;list=TLGGuW2Fx0IJe4YxMDA2MjAyNQ</t>
    </r>
  </si>
  <si>
    <t>Cost Range (USD for 2)</t>
  </si>
  <si>
    <t>Via Alabardieri 38, 80121 Naples</t>
  </si>
  <si>
    <t>Via Poerio 25, 80121 Naples</t>
  </si>
  <si>
    <t>Via Chiaia, Naples</t>
  </si>
  <si>
    <t>Via Chiaia area, Naples</t>
  </si>
  <si>
    <t>Corso Vittorio Emanuele 135, 80121 Naples</t>
  </si>
  <si>
    <t>Via Partenope 45, Grand Hotel Vesuvio, 80121 Naples</t>
  </si>
  <si>
    <t>Calata Ponticello a Santa Lucia 1E, 80132 Naples</t>
  </si>
  <si>
    <t>Via Cuma 42, 80132 Naples</t>
  </si>
  <si>
    <t>Piazza San Domenico Maggiore 4, 80134 Naples</t>
  </si>
  <si>
    <t>Via Luculliana 15, 80132 Naples</t>
  </si>
  <si>
    <t>Naples Historic Center</t>
  </si>
  <si>
    <t>Via Giovanni Nicotera 13, 80132 Naples</t>
  </si>
  <si>
    <t>Salita Sant'Anna di Palazzo 1/2, 80132 Naples</t>
  </si>
  <si>
    <t>Corso Vittorio Emanuele 135, Grand Hotel Parker's, 80121 Naples</t>
  </si>
  <si>
    <t>Posillipo</t>
  </si>
  <si>
    <t>Via Orazio 10, 80123 Naples</t>
  </si>
  <si>
    <t>Port of Naples</t>
  </si>
  <si>
    <t>Via Cristoforo Colombo 45, 80133 Naples</t>
  </si>
  <si>
    <t>Via Vannella Gaetani 2, 80121 Naples</t>
  </si>
  <si>
    <t>Via Giuseppe Fiorelli 11, 80121 Naples</t>
  </si>
  <si>
    <t>Via Bisignano 20, 80121 Naples</t>
  </si>
  <si>
    <t>Via Giuseppe Martucci 30, 80121 Naples</t>
  </si>
  <si>
    <t>Vico Belledonne a Chiaia 18, 80121 Naples</t>
  </si>
  <si>
    <t>💡</t>
  </si>
  <si>
    <t>Vico Belledonne a Chiaia 34-35, 80121 Naples</t>
  </si>
  <si>
    <t>Via Alabardieri 10, 80121 Naples</t>
  </si>
  <si>
    <t>Via Giosuè Carducci 43, 80121 Naples</t>
  </si>
  <si>
    <t>🍫</t>
  </si>
  <si>
    <t>Via Benedetto Croce 61, 80134 Naples</t>
  </si>
  <si>
    <t>Multiple locations in Naples</t>
  </si>
  <si>
    <t>Via Caracciolo, 80121 Naples</t>
  </si>
  <si>
    <t>Villa Comunale, Via Caracciolo, 80121 Naples</t>
  </si>
  <si>
    <t>19th-century villa-turned-museum with Doric columns,sea views</t>
  </si>
  <si>
    <t>Built 1827, owned by Rothschild family, aristocratic history</t>
  </si>
  <si>
    <t>Riviera di Chiaia 200, 80121 Naples</t>
  </si>
  <si>
    <t>Neapolitan house museum with art collection, donated by Princess Rosina in 1952.</t>
  </si>
  <si>
    <t>🚗</t>
  </si>
  <si>
    <t>Riviera di Chiaia 200, Villa Pignatelli, 80121 Naples</t>
  </si>
  <si>
    <t>Via Toledo, 80134 Naples</t>
  </si>
  <si>
    <t>Via Chiaia, 80121 Naples</t>
  </si>
  <si>
    <t>Via Chiaia 149/A, 80121 Naples</t>
  </si>
  <si>
    <t>Vico Belledonne a Chiaia 14b, 80121 Naples</t>
  </si>
  <si>
    <t>Via Santa Caterina a Chiaia 23, 80121 Naples</t>
  </si>
  <si>
    <t>Chiaia/Posillipo</t>
  </si>
  <si>
    <t>Piazza Sannazaro 201/B, 80122 Naples</t>
  </si>
  <si>
    <t>Near Chiaia</t>
  </si>
  <si>
    <t>Via Sersale 1/3, 80139 Naples</t>
  </si>
  <si>
    <t>Via Alabardieri 30/31, 80121 Naples</t>
  </si>
  <si>
    <t>Via S. Giovanni Maggiore Pignatelli 27, 80134 Naples</t>
  </si>
  <si>
    <t>Via San Sebastiano 19, 80132 Naples</t>
  </si>
  <si>
    <t>Via Partenope area, Naples</t>
  </si>
  <si>
    <t>Via Sant'Anna dei Lombardi 27, 80134 Naples</t>
  </si>
  <si>
    <t>Naples Waterfront</t>
  </si>
  <si>
    <t>Riviera di Chiaia 287, 80121 Naples</t>
  </si>
  <si>
    <t>Near Chiaia Waterfront</t>
  </si>
  <si>
    <t>Via Caracciolo, 80122 Naples</t>
  </si>
  <si>
    <t>Via Toledo area, Naples</t>
  </si>
  <si>
    <t>Via Toledo 381, 80134 Naples</t>
  </si>
  <si>
    <t>Via Bisignano 58, 80121 Naples</t>
  </si>
  <si>
    <t>Via Mergellina area, Naples</t>
  </si>
  <si>
    <t>Via dei Tribunali area, Naples</t>
  </si>
  <si>
    <t>Via Medina area, Naples</t>
  </si>
  <si>
    <t>Lungomare Caracciolo, Naples</t>
  </si>
  <si>
    <t>Via Port'Alba 28, 80134 Naples</t>
  </si>
  <si>
    <t>Piazza San Pasquale a Chiaia, 80121 Naples</t>
  </si>
  <si>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</si>
  <si>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</si>
  <si>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</si>
  <si>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</si>
  <si>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</si>
  <si>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</si>
  <si>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</si>
  <si>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</si>
  <si>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</si>
  <si>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</si>
  <si>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</si>
  <si>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</si>
  <si>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</si>
  <si>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</si>
  <si>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</si>
  <si>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</si>
  <si>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</si>
  <si>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</si>
  <si>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</si>
  <si>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</si>
  <si>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</si>
  <si>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</si>
  <si>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</si>
  <si>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</si>
  <si>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</si>
  <si>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</si>
  <si>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</si>
  <si>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</si>
  <si>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</si>
  <si>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</si>
  <si>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</si>
  <si>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</si>
  <si>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</si>
  <si>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</si>
  <si>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</si>
  <si>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</si>
  <si>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</si>
  <si>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</si>
  <si>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 </t>
    </r>
    <r>
      <rPr>
        <color rgb="FF1155CC"/>
        <u/>
      </rPr>
      <t>https://chatgpt.com/c/6846f0da-7884-8009-ad13-dba01dfa021d</t>
    </r>
  </si>
  <si>
    <r>
      <rPr/>
      <t xml:space="preserve">Manus (Chiaia More Options) - </t>
    </r>
    <r>
      <rPr>
        <color rgb="FF1155CC"/>
        <u/>
      </rPr>
      <t>https://chatgpt.com/c/6846f0da-7884-8009-ad13-dba01dfa021d</t>
    </r>
  </si>
  <si>
    <r>
      <rPr/>
      <t xml:space="preserve">Manus (Chiaia More Options) - </t>
    </r>
    <r>
      <rPr>
        <color rgb="FF1155CC"/>
        <u/>
      </rPr>
      <t>https://chatgpt.com/c/6846f0da-7884-8009-ad13-dba01dfa021d</t>
    </r>
  </si>
  <si>
    <r>
      <rPr/>
      <t xml:space="preserve">Manus (Chiaia More Options) - </t>
    </r>
    <r>
      <rPr>
        <color rgb="FF1155CC"/>
        <u/>
      </rPr>
      <t>https://chatgpt.com/c/6846f0da-7884-8009-ad13-dba01dfa021d</t>
    </r>
  </si>
  <si>
    <r>
      <rPr/>
      <t xml:space="preserve">Manus (Chiaia More Options) - </t>
    </r>
    <r>
      <rPr>
        <color rgb="FF1155CC"/>
        <u/>
      </rPr>
      <t>https://chatgpt.com/c/6846f0da-7884-8009-ad13-dba01dfa021d</t>
    </r>
  </si>
  <si>
    <r>
      <rPr/>
      <t xml:space="preserve">Manus (Chiaia More Options) - </t>
    </r>
    <r>
      <rPr>
        <color rgb="FF1155CC"/>
        <u/>
      </rPr>
      <t>https://chatgpt.com/c/6846f0da-7884-8009-ad13-dba01dfa021d</t>
    </r>
  </si>
  <si>
    <r>
      <rPr/>
      <t xml:space="preserve">Manus (Chiaia More Options) - </t>
    </r>
    <r>
      <rPr>
        <color rgb="FF1155CC"/>
        <u/>
      </rPr>
      <t>https://chatgpt.com/c/6846f0da-7884-8009-ad13-dba01dfa021d</t>
    </r>
  </si>
  <si>
    <r>
      <rPr/>
      <t xml:space="preserve">Manus (Chiaia More Options) - </t>
    </r>
    <r>
      <rPr>
        <color rgb="FF1155CC"/>
        <u/>
      </rPr>
      <t>https://chatgpt.com/c/6846f0da-7884-8009-ad13-dba01dfa021d</t>
    </r>
  </si>
  <si>
    <r>
      <rPr/>
      <t xml:space="preserve">Manus (Chiaia More Options) - </t>
    </r>
    <r>
      <rPr>
        <color rgb="FF1155CC"/>
        <u/>
      </rPr>
      <t>https://chatgpt.com/c/6846f0da-7884-8009-ad13-dba01dfa021d</t>
    </r>
  </si>
  <si>
    <r>
      <rPr/>
      <t xml:space="preserve">Manus (Chiaia More Options) - </t>
    </r>
    <r>
      <rPr>
        <color rgb="FF1155CC"/>
        <u/>
      </rPr>
      <t>https://chatgpt.com/c/6846f0da-7884-8009-ad13-dba01dfa021d</t>
    </r>
  </si>
  <si>
    <r>
      <rPr/>
      <t xml:space="preserve">Manus (Chiaia More Options) - </t>
    </r>
    <r>
      <rPr>
        <color rgb="FF1155CC"/>
        <u/>
      </rPr>
      <t>https://chatgpt.com/c/6846f0da-7884-8009-ad13-dba01dfa021d</t>
    </r>
  </si>
  <si>
    <r>
      <rPr/>
      <t xml:space="preserve">Manus (Chiaia More Options) - </t>
    </r>
    <r>
      <rPr>
        <color rgb="FF1155CC"/>
        <u/>
      </rPr>
      <t>https://chatgpt.com/c/6846f0da-7884-8009-ad13-dba01dfa021d</t>
    </r>
  </si>
  <si>
    <r>
      <rPr/>
      <t xml:space="preserve">Manus (Chiaia More Options) - </t>
    </r>
    <r>
      <rPr>
        <color rgb="FF1155CC"/>
        <u/>
      </rPr>
      <t>https://chatgpt.com/c/6846f0da-7884-8009-ad13-dba01dfa021d</t>
    </r>
  </si>
  <si>
    <r>
      <rPr/>
      <t xml:space="preserve">Manus (Chiaia More Options) - </t>
    </r>
    <r>
      <rPr>
        <color rgb="FF1155CC"/>
        <u/>
      </rPr>
      <t>https://chatgpt.com/c/6846f0da-7884-8009-ad13-dba01dfa021d</t>
    </r>
  </si>
  <si>
    <r>
      <rPr/>
      <t xml:space="preserve">Manus (Chiaia More Options) - </t>
    </r>
    <r>
      <rPr>
        <color rgb="FF1155CC"/>
        <u/>
      </rPr>
      <t>https://chatgpt.com/c/6846f0da-7884-8009-ad13-dba01dfa021d</t>
    </r>
  </si>
  <si>
    <r>
      <rPr/>
      <t xml:space="preserve">Manus (Chiaia More Options) - </t>
    </r>
    <r>
      <rPr>
        <color rgb="FF1155CC"/>
        <u/>
      </rPr>
      <t>https://chatgpt.com/c/6846f0da-7884-8009-ad13-dba01dfa021d</t>
    </r>
  </si>
  <si>
    <r>
      <rPr/>
      <t xml:space="preserve">Manus (Chiaia More Options) - </t>
    </r>
    <r>
      <rPr>
        <color rgb="FF1155CC"/>
        <u/>
      </rPr>
      <t>https://chatgpt.com/c/6846f0da-7884-8009-ad13-dba01dfa021d</t>
    </r>
  </si>
  <si>
    <r>
      <rPr/>
      <t xml:space="preserve">Manus (Chiaia More Options) - </t>
    </r>
    <r>
      <rPr>
        <color rgb="FF1155CC"/>
        <u/>
      </rPr>
      <t>https://chatgpt.com/c/6846f0da-7884-8009-ad13-dba01dfa021d</t>
    </r>
  </si>
  <si>
    <r>
      <rPr/>
      <t xml:space="preserve">Manus (Chiaia More Options) - </t>
    </r>
    <r>
      <rPr>
        <color rgb="FF1155CC"/>
        <u/>
      </rPr>
      <t>https://chatgpt.com/c/6846f0da-7884-8009-ad13-dba01dfa021d</t>
    </r>
  </si>
  <si>
    <r>
      <rPr/>
      <t xml:space="preserve">Manus (Chiaia More Options) - </t>
    </r>
    <r>
      <rPr>
        <color rgb="FF1155CC"/>
        <u/>
      </rPr>
      <t>https://chatgpt.com/c/6846f0da-7884-8009-ad13-dba01dfa021d</t>
    </r>
  </si>
  <si>
    <r>
      <rPr/>
      <t xml:space="preserve">Manus (Chiaia More Options) - </t>
    </r>
    <r>
      <rPr>
        <color rgb="FF1155CC"/>
        <u/>
      </rPr>
      <t>https://chatgpt.com/c/6846f0da-7884-8009-ad13-dba01dfa021d</t>
    </r>
  </si>
  <si>
    <r>
      <rPr/>
      <t xml:space="preserve">Manus (Chiaia More Options) - </t>
    </r>
    <r>
      <rPr>
        <color rgb="FF1155CC"/>
        <u/>
      </rPr>
      <t>https://chatgpt.com/c/6846f0da-7884-8009-ad13-dba01dfa021d</t>
    </r>
  </si>
  <si>
    <r>
      <rPr/>
      <t xml:space="preserve">Manus (Chiaia More Options) - </t>
    </r>
    <r>
      <rPr>
        <color rgb="FF1155CC"/>
        <u/>
      </rPr>
      <t>https://chatgpt.com/c/6846f0da-7884-8009-ad13-dba01dfa021d</t>
    </r>
  </si>
  <si>
    <r>
      <rPr/>
      <t xml:space="preserve">Manus (Chiaia More Options) - </t>
    </r>
    <r>
      <rPr>
        <color rgb="FF1155CC"/>
        <u/>
      </rPr>
      <t>https://chatgpt.com/c/6846f0da-7884-8009-ad13-dba01dfa021d</t>
    </r>
  </si>
  <si>
    <r>
      <rPr/>
      <t xml:space="preserve">Manus (Chiaia More Options) - </t>
    </r>
    <r>
      <rPr>
        <color rgb="FF1155CC"/>
        <u/>
      </rPr>
      <t>https://chatgpt.com/c/6846f0da-7884-8009-ad13-dba01dfa021d</t>
    </r>
  </si>
  <si>
    <r>
      <rPr/>
      <t xml:space="preserve">Manus (Chiaia More Options) - </t>
    </r>
    <r>
      <rPr>
        <color rgb="FF1155CC"/>
        <u/>
      </rPr>
      <t>https://chatgpt.com/c/6846f0da-7884-8009-ad13-dba01dfa021d</t>
    </r>
  </si>
  <si>
    <r>
      <rPr/>
      <t xml:space="preserve">Manus (Chiaia More Options) - </t>
    </r>
    <r>
      <rPr>
        <color rgb="FF1155CC"/>
        <u/>
      </rPr>
      <t>https://chatgpt.com/c/6846f0da-7884-8009-ad13-dba01dfa021d</t>
    </r>
  </si>
  <si>
    <r>
      <rPr/>
      <t xml:space="preserve">Manus (Chiaia More Options) - </t>
    </r>
    <r>
      <rPr>
        <color rgb="FF1155CC"/>
        <u/>
      </rPr>
      <t>https://chatgpt.com/c/6846f0da-7884-8009-ad13-dba01dfa021d</t>
    </r>
  </si>
  <si>
    <r>
      <rPr/>
      <t xml:space="preserve">Manus (Chiaia More Options) - </t>
    </r>
    <r>
      <rPr>
        <color rgb="FF1155CC"/>
        <u/>
      </rPr>
      <t>https://chatgpt.com/c/6846f0da-7884-8009-ad13-dba01dfa021d</t>
    </r>
  </si>
  <si>
    <r>
      <rPr/>
      <t xml:space="preserve">Manus (Chiaia More Options) - </t>
    </r>
    <r>
      <rPr>
        <color rgb="FF1155CC"/>
        <u/>
      </rPr>
      <t>https://chatgpt.com/c/6846f0da-7884-8009-ad13-dba01dfa021d</t>
    </r>
  </si>
  <si>
    <r>
      <rPr/>
      <t xml:space="preserve">Manus (Chiaia More Options) - </t>
    </r>
    <r>
      <rPr>
        <color rgb="FF1155CC"/>
        <u/>
      </rPr>
      <t>https://chatgpt.com/c/6846f0da-7884-8009-ad13-dba01dfa021d</t>
    </r>
  </si>
  <si>
    <r>
      <rPr/>
      <t xml:space="preserve">Chat GPT - </t>
    </r>
    <r>
      <rPr>
        <color rgb="FF1155CC"/>
        <u/>
      </rPr>
      <t>https://chatgpt.com/c/6846f0da-7884-8009-ad13-dba01dfa021d</t>
    </r>
  </si>
  <si>
    <r>
      <rPr/>
      <t xml:space="preserve">Chat GPT - </t>
    </r>
    <r>
      <rPr>
        <color rgb="FF1155CC"/>
        <u/>
      </rPr>
      <t>https://chatgpt.com/c/6846f0da-7884-8009-ad13-dba01dfa021d</t>
    </r>
  </si>
  <si>
    <r>
      <rPr/>
      <t xml:space="preserve">Chat GPT - </t>
    </r>
    <r>
      <rPr>
        <color rgb="FF1155CC"/>
        <u/>
      </rPr>
      <t>https://chatgpt.com/c/6846f0da-7884-8009-ad13-dba01dfa021d</t>
    </r>
  </si>
  <si>
    <r>
      <rPr/>
      <t xml:space="preserve">Chat GPT - </t>
    </r>
    <r>
      <rPr>
        <color rgb="FF1155CC"/>
        <u/>
      </rPr>
      <t>https://chatgpt.com/c/6846f0da-7884-8009-ad13-dba01dfa021d</t>
    </r>
  </si>
  <si>
    <t>Destination</t>
  </si>
  <si>
    <t>Walk Time</t>
  </si>
  <si>
    <t>Drive Time</t>
  </si>
  <si>
    <t>Origin</t>
  </si>
  <si>
    <t>3 mins</t>
  </si>
  <si>
    <t>Hotel Rufolo, Ravello, Italy</t>
  </si>
  <si>
    <t>2 mins</t>
  </si>
  <si>
    <t>12 mins</t>
  </si>
  <si>
    <t>9 mins</t>
  </si>
  <si>
    <t>7 mins</t>
  </si>
  <si>
    <t>10 mins</t>
  </si>
  <si>
    <t>Hotel Savoia, Positano, Italy</t>
  </si>
  <si>
    <t>1 hour 21 mins</t>
  </si>
  <si>
    <t>13 mins</t>
  </si>
  <si>
    <t>4 hours 42 mins</t>
  </si>
  <si>
    <t>39 mins</t>
  </si>
  <si>
    <t>1 hour 27 mins</t>
  </si>
  <si>
    <t>4 hours 40 mins</t>
  </si>
  <si>
    <t>38 mins</t>
  </si>
  <si>
    <t>1 hour 42 mins</t>
  </si>
  <si>
    <t>47 mins</t>
  </si>
  <si>
    <t>17 mins</t>
  </si>
  <si>
    <t>2 hours 0 mins</t>
  </si>
  <si>
    <t>20 mins</t>
  </si>
  <si>
    <t>4 hours 12 mins</t>
  </si>
  <si>
    <t>28 mins</t>
  </si>
  <si>
    <t>37 mins</t>
  </si>
  <si>
    <t>22 mins</t>
  </si>
  <si>
    <t>4 hours 39 mins</t>
  </si>
  <si>
    <t>4 hours 31 mins</t>
  </si>
  <si>
    <t>24 mins</t>
  </si>
  <si>
    <t>4 hours 41 mins</t>
  </si>
  <si>
    <t>25 mins</t>
  </si>
  <si>
    <t>2 hours 4 mins</t>
  </si>
  <si>
    <t>3 hours 34 mins</t>
  </si>
  <si>
    <t>1 hour 35 mins</t>
  </si>
  <si>
    <t>1 hour 47 mins</t>
  </si>
  <si>
    <t>1 hour 13 mins</t>
  </si>
  <si>
    <t>1 hour 43 mins</t>
  </si>
  <si>
    <t>1 hour 59 mins</t>
  </si>
  <si>
    <t>1 hour 3 mins</t>
  </si>
  <si>
    <t>59 mins</t>
  </si>
  <si>
    <t>2 hours 5 mins</t>
  </si>
  <si>
    <t>1 hour 24 mins</t>
  </si>
  <si>
    <t>1 hour 31 mins</t>
  </si>
  <si>
    <t>18 mins</t>
  </si>
  <si>
    <t>1 hour 34 mins</t>
  </si>
  <si>
    <t>1 hour 48 mins</t>
  </si>
  <si>
    <t>1 hour 26 mins</t>
  </si>
  <si>
    <t>1 hour 49 mins</t>
  </si>
  <si>
    <t>1 hour 51 mins</t>
  </si>
  <si>
    <t>1 hour 55 mins</t>
  </si>
  <si>
    <t>La Residenza, Capri, Italy</t>
  </si>
  <si>
    <t>52 mins</t>
  </si>
  <si>
    <t>23 mins</t>
  </si>
  <si>
    <t>19 mins</t>
  </si>
  <si>
    <t>1 hour 14 mins</t>
  </si>
  <si>
    <t>1 hour 39 mins</t>
  </si>
  <si>
    <t>1 hour 38 mins</t>
  </si>
  <si>
    <t>42 mins</t>
  </si>
  <si>
    <t>46 mins</t>
  </si>
  <si>
    <t>53 mins</t>
  </si>
  <si>
    <t>21 mins</t>
  </si>
  <si>
    <t>31 mins</t>
  </si>
  <si>
    <t>1 hour 10 mins</t>
  </si>
  <si>
    <t>29 mins</t>
  </si>
  <si>
    <t>Relais sul Mare Boutique Hotel, Naples, Italy</t>
  </si>
  <si>
    <t>44 mins</t>
  </si>
  <si>
    <t>41 mins</t>
  </si>
  <si>
    <t>43 mins</t>
  </si>
  <si>
    <t>30 mins</t>
  </si>
  <si>
    <t>34 mins</t>
  </si>
  <si>
    <t>49 mins</t>
  </si>
  <si>
    <t>32 mins</t>
  </si>
  <si>
    <t>1 hour 54 mins</t>
  </si>
  <si>
    <t>10 hours 43 mins</t>
  </si>
  <si>
    <t>1 hour 6 mins</t>
  </si>
  <si>
    <t>40 mins</t>
  </si>
  <si>
    <t>27 mins</t>
  </si>
  <si>
    <t>1 hour 22 mins</t>
  </si>
  <si>
    <t>50 mins</t>
  </si>
  <si>
    <t>1 hour 7 mins</t>
  </si>
  <si>
    <t>1 hour 12 mins</t>
  </si>
  <si>
    <t>33 mins</t>
  </si>
  <si>
    <t>58 mins</t>
  </si>
  <si>
    <t>11 min</t>
  </si>
  <si>
    <t>2 min</t>
  </si>
  <si>
    <r>
      <rPr/>
      <t xml:space="preserve">Manus - </t>
    </r>
    <r>
      <rPr>
        <color rgb="FF1155CC"/>
        <u/>
      </rPr>
      <t>https://manus.im/app/BW91CbS2mKciOf4E3b3a3o</t>
    </r>
  </si>
  <si>
    <r>
      <rPr/>
      <t xml:space="preserve">Manus - </t>
    </r>
    <r>
      <rPr>
        <color rgb="FF1155CC"/>
        <u/>
      </rPr>
      <t>https://manus.im/app/BW91CbS2mKciOf4E3b3a3o</t>
    </r>
  </si>
  <si>
    <r>
      <rPr/>
      <t xml:space="preserve">Manus - </t>
    </r>
    <r>
      <rPr>
        <color rgb="FF1155CC"/>
        <u/>
      </rPr>
      <t>https://manus.im/app/BW91CbS2mKciOf4E3b3a3o</t>
    </r>
  </si>
  <si>
    <r>
      <rPr/>
      <t xml:space="preserve">Manus - </t>
    </r>
    <r>
      <rPr>
        <color rgb="FF1155CC"/>
        <u/>
      </rPr>
      <t>https://manus.im/app/BW91CbS2mKciOf4E3b3a3o</t>
    </r>
  </si>
  <si>
    <r>
      <rPr/>
      <t xml:space="preserve">Manus - </t>
    </r>
    <r>
      <rPr>
        <color rgb="FF1155CC"/>
        <u/>
      </rPr>
      <t>https://manus.im/app/BW91CbS2mKciOf4E3b3a3o</t>
    </r>
  </si>
  <si>
    <r>
      <rPr/>
      <t xml:space="preserve">Manus - </t>
    </r>
    <r>
      <rPr>
        <color rgb="FF1155CC"/>
        <u/>
      </rPr>
      <t>https://manus.im/app/BW91CbS2mKciOf4E3b3a3o</t>
    </r>
  </si>
  <si>
    <r>
      <rPr/>
      <t xml:space="preserve">Manus - </t>
    </r>
    <r>
      <rPr>
        <color rgb="FF1155CC"/>
        <u/>
      </rPr>
      <t>https://manus.im/app/BW91CbS2mKciOf4E3b3a3o</t>
    </r>
  </si>
  <si>
    <r>
      <rPr/>
      <t xml:space="preserve">Manus - </t>
    </r>
    <r>
      <rPr>
        <color rgb="FF1155CC"/>
        <u/>
      </rPr>
      <t>https://manus.im/app/BW91CbS2mKciOf4E3b3a3o</t>
    </r>
  </si>
  <si>
    <r>
      <rPr/>
      <t xml:space="preserve">Manus - </t>
    </r>
    <r>
      <rPr>
        <color rgb="FF1155CC"/>
        <u/>
      </rPr>
      <t>https://manus.im/app/BW91CbS2mKciOf4E3b3a3o</t>
    </r>
  </si>
  <si>
    <r>
      <rPr/>
      <t xml:space="preserve">Manus - </t>
    </r>
    <r>
      <rPr>
        <color rgb="FF1155CC"/>
        <u/>
      </rPr>
      <t>https://manus.im/app/BW91CbS2mKciOf4E3b3a3o</t>
    </r>
  </si>
  <si>
    <r>
      <rPr/>
      <t xml:space="preserve">Manus - </t>
    </r>
    <r>
      <rPr>
        <color rgb="FF1155CC"/>
        <u/>
      </rPr>
      <t>https://manus.im/app/BW91CbS2mKciOf4E3b3a3o</t>
    </r>
  </si>
  <si>
    <r>
      <rPr/>
      <t xml:space="preserve">Manus - </t>
    </r>
    <r>
      <rPr>
        <color rgb="FF1155CC"/>
        <u/>
      </rPr>
      <t>https://manus.im/app/BW91CbS2mKciOf4E3b3a3o</t>
    </r>
  </si>
  <si>
    <r>
      <rPr/>
      <t xml:space="preserve">Manus - </t>
    </r>
    <r>
      <rPr>
        <color rgb="FF1155CC"/>
        <u/>
      </rPr>
      <t>https://manus.im/app/BW91CbS2mKciOf4E3b3a3o</t>
    </r>
  </si>
  <si>
    <r>
      <rPr/>
      <t xml:space="preserve">Manus - </t>
    </r>
    <r>
      <rPr>
        <color rgb="FF1155CC"/>
        <u/>
      </rPr>
      <t>https://manus.im/app/BW91CbS2mKciOf4E3b3a3o</t>
    </r>
  </si>
  <si>
    <r>
      <rPr/>
      <t xml:space="preserve">Manus - </t>
    </r>
    <r>
      <rPr>
        <color rgb="FF1155CC"/>
        <u/>
      </rPr>
      <t>https://manus.im/app/BW91CbS2mKciOf4E3b3a3o</t>
    </r>
  </si>
  <si>
    <r>
      <rPr/>
      <t xml:space="preserve">Manus - </t>
    </r>
    <r>
      <rPr>
        <color rgb="FF1155CC"/>
        <u/>
      </rPr>
      <t>https://manus.im/app/BW91CbS2mKciOf4E3b3a3o</t>
    </r>
  </si>
  <si>
    <r>
      <rPr/>
      <t xml:space="preserve">Manus - </t>
    </r>
    <r>
      <rPr>
        <color rgb="FF1155CC"/>
        <u/>
      </rPr>
      <t>https://manus.im/app/BW91CbS2mKciOf4E3b3a3o</t>
    </r>
  </si>
  <si>
    <r>
      <rPr/>
      <t xml:space="preserve">Manus - </t>
    </r>
    <r>
      <rPr>
        <color rgb="FF1155CC"/>
        <u/>
      </rPr>
      <t>https://manus.im/app/BW91CbS2mKciOf4E3b3a3o</t>
    </r>
  </si>
  <si>
    <t>Address (Manus)</t>
  </si>
  <si>
    <t>LatLong (Manus)</t>
  </si>
  <si>
    <t>Via G. Capriglione, 190, 84010 Praiano (SA), Italy</t>
  </si>
  <si>
    <t>40.6117, 14.5240</t>
  </si>
  <si>
    <t>Praiano, 84010 Province of Salerno, Italy</t>
  </si>
  <si>
    <t>Via G. Capriglione, 147, 84010 Praiano SA, Italy</t>
  </si>
  <si>
    <t>Between Praiano and Positano, Amalfi Coast, Italy</t>
  </si>
  <si>
    <t>40.6200, 14.5100</t>
  </si>
  <si>
    <t>Historic Center, Praiano, Italy</t>
  </si>
  <si>
    <t>40.6100, 14.5250</t>
  </si>
  <si>
    <t>Via G Capriglione 90, 84010 Praiano Italy</t>
  </si>
  <si>
    <t>Via Regina Giovanna, 10, 84017 Positano SA, Italy</t>
  </si>
  <si>
    <t>40.6281, 14.4890</t>
  </si>
  <si>
    <t>Positano, 84017 Province of Salerno, Italy</t>
  </si>
  <si>
    <t>Via Lorenzo D'Amalfi, 9, 84011 Amalfi SA, Italy</t>
  </si>
  <si>
    <t>40.6340, 14.6026</t>
  </si>
  <si>
    <t>Via Gavitella, 2, 84010 Praiano SA, Italy</t>
  </si>
  <si>
    <t>Gavitella Beach, 84010 Praiano SA, Italy</t>
  </si>
  <si>
    <t>Spiaggia Grande, 84017 Positano SA, Italy</t>
  </si>
  <si>
    <t>Arienzo Beach, 84017 Positano SA, Italy</t>
  </si>
  <si>
    <t>40.6250, 14.4850</t>
  </si>
  <si>
    <t>Marina di Praia, 84010 Praiano SA, Italy</t>
  </si>
  <si>
    <t>40.6080, 14.5280</t>
  </si>
  <si>
    <t>Via Francesco Russo, 84010 Praiano SA, Italy</t>
  </si>
  <si>
    <t>SS163, 84010 Conca dei Marini SA, Italy</t>
  </si>
  <si>
    <t>40.6200, 14.5400</t>
  </si>
  <si>
    <t>Vettica Maggiore, 84010 Praiano SA, Italy</t>
  </si>
  <si>
    <t>Path of the Gods Trail, 84010 Praiano SA, Italy</t>
  </si>
  <si>
    <t>40.6150, 14.5200</t>
  </si>
  <si>
    <t>Piazza del Duomo, 84011 Amalfi SA, Italy</t>
  </si>
  <si>
    <t>Piazza Flavio Gioia, 84017 Positano SA, Italy</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</si>
</sst>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d&quot; &quot;m&quot;/&quot;d"/>
    <numFmt numFmtId="165" formatCode="&quot;$&quot;#,##0"/>
    <numFmt numFmtId="166" formatCode="m/d/yyyy"/>
  </numFmts>
  <fonts count="20">
    <font>
      <sz val="10.0"/>
      <color rgb="FF000000"/>
      <name val="Arial"/>
      <scheme val="minor"/>
    </font>
    <font>
      <b/>
      <color theme="1"/>
      <name val="Arial"/>
      <scheme val="minor"/>
    </font>
    <font>
      <color theme="1"/>
      <name val="Arial"/>
      <scheme val="minor"/>
    </font>
    <font>
      <u/>
      <color rgb="FF0000FF"/>
    </font>
    <font>
      <u/>
      <color rgb="FF0000FF"/>
    </font>
    <font>
      <b/>
      <u/>
      <color rgb="FF0000FF"/>
    </font>
    <font>
      <b/>
      <sz val="8.0"/>
      <color rgb="FF000000"/>
      <name val="&quot;Helvetica Neue&quot;"/>
    </font>
    <font>
      <color theme="1"/>
      <name val="Arial"/>
    </font>
    <font>
      <u/>
      <color rgb="FF0000FF"/>
    </font>
    <font>
      <sz val="8.0"/>
      <color rgb="FF000000"/>
      <name val="&quot;Helvetica Neue&quot;"/>
    </font>
    <font>
      <color rgb="FF000000"/>
      <name val="Helvetica Neue"/>
    </font>
    <font>
      <u/>
      <color rgb="FF0000FF"/>
    </font>
    <font>
      <b/>
      <color rgb="FF000000"/>
      <name val="Helvetica Neue"/>
    </font>
    <font>
      <color rgb="FF000000"/>
      <name val="Apple Color Emoji"/>
    </font>
    <font>
      <u/>
      <color rgb="FF0000FF"/>
    </font>
    <font>
      <color rgb="FFD9D9D9"/>
      <name val="Arial"/>
      <scheme val="minor"/>
    </font>
    <font>
      <b/>
      <color rgb="FF000000"/>
      <name val="Arial"/>
      <scheme val="minor"/>
    </font>
    <font>
      <sz val="8.0"/>
      <color rgb="FF000000"/>
      <name val="&quot;Apple Color Emoji&quot;"/>
    </font>
    <font>
      <sz val="11.0"/>
      <color rgb="FF131314"/>
      <name val="&quot;Google Sans Text&quot;"/>
    </font>
    <font>
      <b/>
      <sz val="11.0"/>
      <color rgb="FF131314"/>
      <name val="&quot;Google Sans Text&quot;"/>
    </font>
  </fonts>
  <fills count="8">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B0B3B2"/>
        <bgColor rgb="FFB0B3B2"/>
      </patternFill>
    </fill>
    <fill>
      <patternFill patternType="solid">
        <fgColor rgb="FFD4D4D4"/>
        <bgColor rgb="FFD4D4D4"/>
      </patternFill>
    </fill>
    <fill>
      <patternFill patternType="solid">
        <fgColor theme="0"/>
        <bgColor theme="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Alignment="1" applyFont="1">
      <alignment horizontal="left" readingOrder="0" vertical="center"/>
    </xf>
    <xf borderId="0" fillId="0" fontId="1" numFmtId="0" xfId="0" applyAlignment="1" applyFont="1">
      <alignment horizontal="left" readingOrder="0" vertical="center"/>
    </xf>
    <xf borderId="0" fillId="0" fontId="1" numFmtId="0" xfId="0" applyAlignment="1" applyFont="1">
      <alignment readingOrder="0"/>
    </xf>
    <xf borderId="0" fillId="0" fontId="2" numFmtId="164" xfId="0" applyAlignment="1" applyFont="1" applyNumberFormat="1">
      <alignment horizontal="right" vertical="center"/>
    </xf>
    <xf borderId="0" fillId="0" fontId="2" numFmtId="0" xfId="0" applyAlignment="1" applyFont="1">
      <alignment readingOrder="0" vertical="center"/>
    </xf>
    <xf borderId="0" fillId="0" fontId="3" numFmtId="0" xfId="0" applyAlignment="1" applyFont="1">
      <alignment readingOrder="0"/>
    </xf>
    <xf borderId="0" fillId="0" fontId="2" numFmtId="164" xfId="0" applyAlignment="1" applyFont="1" applyNumberFormat="1">
      <alignment vertical="center"/>
    </xf>
    <xf borderId="0" fillId="0" fontId="4" numFmtId="0" xfId="0" applyAlignment="1" applyFont="1">
      <alignment readingOrder="0" vertical="center"/>
    </xf>
    <xf borderId="0" fillId="0" fontId="2" numFmtId="0" xfId="0" applyAlignment="1" applyFont="1">
      <alignment readingOrder="0"/>
    </xf>
    <xf borderId="0" fillId="0" fontId="2" numFmtId="0" xfId="0" applyAlignment="1" applyFont="1">
      <alignment readingOrder="0"/>
    </xf>
    <xf borderId="0" fillId="0" fontId="2" numFmtId="0" xfId="0" applyAlignment="1" applyFont="1">
      <alignment vertical="center"/>
    </xf>
    <xf borderId="0" fillId="0" fontId="2" numFmtId="14" xfId="0" applyAlignment="1" applyFont="1" applyNumberFormat="1">
      <alignment readingOrder="0"/>
    </xf>
    <xf borderId="0" fillId="0" fontId="2" numFmtId="14" xfId="0" applyAlignment="1" applyFont="1" applyNumberFormat="1">
      <alignment readingOrder="0"/>
    </xf>
    <xf borderId="0" fillId="2" fontId="2" numFmtId="0" xfId="0" applyAlignment="1" applyFill="1" applyFont="1">
      <alignment readingOrder="0"/>
    </xf>
    <xf borderId="0" fillId="3" fontId="2" numFmtId="0" xfId="0" applyAlignment="1" applyFill="1" applyFont="1">
      <alignment readingOrder="0"/>
    </xf>
    <xf borderId="0" fillId="0" fontId="1" numFmtId="0" xfId="0" applyFont="1"/>
    <xf borderId="0" fillId="2" fontId="2" numFmtId="0" xfId="0" applyAlignment="1" applyFont="1">
      <alignment readingOrder="0"/>
    </xf>
    <xf borderId="0" fillId="0" fontId="5" numFmtId="0" xfId="0" applyAlignment="1" applyFont="1">
      <alignment readingOrder="0"/>
    </xf>
    <xf borderId="0" fillId="0" fontId="2" numFmtId="0" xfId="0" applyFont="1"/>
    <xf borderId="1" fillId="4" fontId="6" numFmtId="0" xfId="0" applyAlignment="1" applyBorder="1" applyFill="1" applyFont="1">
      <alignment readingOrder="0" vertical="top"/>
    </xf>
    <xf borderId="0" fillId="0" fontId="7" numFmtId="0" xfId="0" applyAlignment="1" applyFont="1">
      <alignment readingOrder="0" vertical="bottom"/>
    </xf>
    <xf borderId="0" fillId="0" fontId="7" numFmtId="0" xfId="0" applyAlignment="1" applyFont="1">
      <alignment vertical="bottom"/>
    </xf>
    <xf borderId="0" fillId="0" fontId="1" numFmtId="0" xfId="0" applyAlignment="1" applyFont="1">
      <alignment horizontal="center" readingOrder="0"/>
    </xf>
    <xf borderId="0" fillId="0" fontId="8" numFmtId="0" xfId="0" applyFont="1"/>
    <xf borderId="0" fillId="0" fontId="2" numFmtId="0" xfId="0" applyFont="1"/>
    <xf borderId="1" fillId="0" fontId="9" numFmtId="0" xfId="0" applyAlignment="1" applyBorder="1" applyFont="1">
      <alignment readingOrder="0" vertical="top"/>
    </xf>
    <xf borderId="1" fillId="0" fontId="10" numFmtId="0" xfId="0" applyAlignment="1" applyBorder="1" applyFont="1">
      <alignment readingOrder="0" vertical="top"/>
    </xf>
    <xf borderId="0" fillId="0" fontId="2" numFmtId="165" xfId="0" applyFont="1" applyNumberFormat="1"/>
    <xf borderId="0" fillId="0" fontId="11" numFmtId="0" xfId="0" applyFont="1"/>
    <xf quotePrefix="1" borderId="0" fillId="0" fontId="2" numFmtId="0" xfId="0" applyFont="1"/>
    <xf borderId="1" fillId="5" fontId="12" numFmtId="0" xfId="0" applyAlignment="1" applyBorder="1" applyFill="1" applyFont="1">
      <alignment readingOrder="0" vertical="top"/>
    </xf>
    <xf borderId="1" fillId="0" fontId="13" numFmtId="0" xfId="0" applyAlignment="1" applyBorder="1" applyFont="1">
      <alignment readingOrder="0" vertical="top"/>
    </xf>
    <xf borderId="0" fillId="0" fontId="7" numFmtId="0" xfId="0" applyAlignment="1" applyFont="1">
      <alignment horizontal="right" readingOrder="0" vertical="bottom"/>
    </xf>
    <xf borderId="0" fillId="0" fontId="14" numFmtId="0" xfId="0" applyAlignment="1" applyFont="1">
      <alignment readingOrder="0"/>
    </xf>
    <xf borderId="1" fillId="5" fontId="6" numFmtId="0" xfId="0" applyAlignment="1" applyBorder="1" applyFont="1">
      <alignment readingOrder="0" vertical="top"/>
    </xf>
    <xf borderId="0" fillId="0" fontId="2" numFmtId="166" xfId="0" applyAlignment="1" applyFont="1" applyNumberFormat="1">
      <alignment readingOrder="0"/>
    </xf>
    <xf borderId="0" fillId="0" fontId="2" numFmtId="0" xfId="0" applyAlignment="1" applyFont="1">
      <alignment horizontal="center" readingOrder="0"/>
    </xf>
    <xf borderId="0" fillId="0" fontId="15"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0" fillId="0" fontId="16" numFmtId="0" xfId="0" applyAlignment="1" applyFont="1">
      <alignment horizontal="center" readingOrder="0"/>
    </xf>
    <xf borderId="1" fillId="6" fontId="9" numFmtId="0" xfId="0" applyAlignment="1" applyBorder="1" applyFill="1" applyFont="1">
      <alignment readingOrder="0" vertical="top"/>
    </xf>
    <xf borderId="1" fillId="0" fontId="17" numFmtId="0" xfId="0" applyAlignment="1" applyBorder="1" applyFont="1">
      <alignment readingOrder="0" vertical="top"/>
    </xf>
    <xf borderId="1" fillId="6" fontId="6" numFmtId="0" xfId="0" applyAlignment="1" applyBorder="1" applyFont="1">
      <alignment readingOrder="0" vertical="top"/>
    </xf>
    <xf borderId="0" fillId="7" fontId="18" numFmtId="0" xfId="0" applyAlignment="1" applyFill="1" applyFont="1">
      <alignment readingOrder="0"/>
    </xf>
    <xf borderId="0" fillId="7" fontId="19" numFmtId="0" xfId="0" applyAlignment="1" applyFont="1">
      <alignment readingOrder="0"/>
    </xf>
    <xf borderId="1" fillId="4" fontId="2" numFmtId="0" xfId="0" applyAlignment="1" applyBorder="1" applyFont="1">
      <alignment vertical="top"/>
    </xf>
    <xf borderId="1" fillId="0" fontId="2" numFmtId="0" xfId="0" applyAlignment="1" applyBorder="1" applyFont="1">
      <alignment vertical="top"/>
    </xf>
    <xf quotePrefix="1" borderId="1" fillId="5" fontId="6" numFmtId="0" xfId="0" applyAlignment="1" applyBorder="1" applyFont="1">
      <alignment readingOrder="0" vertical="top"/>
    </xf>
    <xf borderId="1" fillId="0" fontId="2" numFmtId="0" xfId="0" applyAlignment="1" applyBorder="1" applyFont="1">
      <alignment readingOrder="0" vertical="top"/>
    </xf>
    <xf borderId="1" fillId="4" fontId="2" numFmtId="0" xfId="0" applyAlignment="1" applyBorder="1" applyFont="1">
      <alignment readingOrder="0" vertical="top"/>
    </xf>
    <xf borderId="1" fillId="5" fontId="9" numFmtId="0" xfId="0" applyAlignment="1" applyBorder="1" applyFont="1">
      <alignment readingOrder="0" vertical="top"/>
    </xf>
    <xf quotePrefix="1" borderId="1" fillId="5" fontId="9" numFmtId="0" xfId="0" applyAlignment="1" applyBorder="1" applyFont="1">
      <alignment readingOrder="0" vertical="top"/>
    </xf>
    <xf borderId="1" fillId="4" fontId="9" numFmtId="0" xfId="0" applyAlignment="1" applyBorder="1" applyFont="1">
      <alignment readingOrder="0" vertical="top"/>
    </xf>
    <xf borderId="1" fillId="5" fontId="10" numFmtId="0" xfId="0" applyAlignment="1" applyBorder="1" applyFont="1">
      <alignment readingOrder="0" vertical="top"/>
    </xf>
    <xf borderId="0" fillId="0" fontId="7"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s://mail.google.com/mail/u/0/" TargetMode="External"/><Relationship Id="rId10" Type="http://schemas.openxmlformats.org/officeDocument/2006/relationships/hyperlink" Target="https://drive.google.com/file/d/1jXrGKN6bQUfLrJ3H3NIA9G8sG2MRg7CG/view?usp=drive_link" TargetMode="External"/><Relationship Id="rId21" Type="http://schemas.openxmlformats.org/officeDocument/2006/relationships/vmlDrawing" Target="../drawings/vmlDrawing1.vml"/><Relationship Id="rId13" Type="http://schemas.openxmlformats.org/officeDocument/2006/relationships/hyperlink" Target="https://mail.google.com/mail/u/0/" TargetMode="External"/><Relationship Id="rId12" Type="http://schemas.openxmlformats.org/officeDocument/2006/relationships/hyperlink" Target="https://www.google.com/maps/place/Giardini+Principessa+di+Piemonte/@40.6503671,14.6106623,16.25z/data=!4m6!3m5!1s0x133b95759d0e4069:0xb64b677b085e6cd5!8m2!3d40.6504711!4d14.6130187!16s%2Fg%2F11b7xnpg_7?entry=ttu&amp;g_ep=EgoyMDI1MDYzMC4wIKXMDSoASAFQAw%3D%3D" TargetMode="External"/><Relationship Id="rId1" Type="http://schemas.openxmlformats.org/officeDocument/2006/relationships/comments" Target="../comments1.xml"/><Relationship Id="rId2" Type="http://schemas.openxmlformats.org/officeDocument/2006/relationships/hyperlink" Target="https://www.icloud.com/notes/note/UHJpdmF0ZTo6Tm90ZXM6OmN1cnJlbnRVc2VyOjozQzY2Q0M5OC1CNTg1LTQ5QTItOTI0Ny0wQzQ0NDJCQjY4ODU=" TargetMode="External"/><Relationship Id="rId3" Type="http://schemas.openxmlformats.org/officeDocument/2006/relationships/hyperlink" Target="https://mail.google.com/mail/u/0/" TargetMode="External"/><Relationship Id="rId4" Type="http://schemas.openxmlformats.org/officeDocument/2006/relationships/hyperlink" Target="https://traveler.welcomepickups.com/en/naples/transfer/new?luggage=2&amp;passengers=2&amp;time=13%3A00&amp;date=8%2F29%2F2025&amp;city=naples&amp;from=Naples%20International%20Airport%20(NAP)&amp;from_lat=40.884749&amp;from_lng=14.289243&amp;from_category=hub&amp;from_address=Naples%20Airport%2C%20Italy&amp;to=Relais%20sul%20Mare%2C%20Via%20Palepoli%2C%2020%2C%2080132%20Napoli%20NA%2C%20Italy&amp;to_lat=40.830913&amp;to_lng=14.250018&amp;to_category=destination&amp;to_address=Via%20Palepoli%2C%2020%2C%2080132%20Napoli%20NA%2C%20Italy&amp;from_type=airport&amp;to_type=hotel&amp;from_location_id=212710&amp;to_location_id=365203&amp;from_time_as_pickup=1" TargetMode="External"/><Relationship Id="rId9" Type="http://schemas.openxmlformats.org/officeDocument/2006/relationships/hyperlink" Target="https://www.google.com/maps/place/Taverna+Anema+e+Core/@40.5501356,14.2414472,17z/data=!3m1!4b1!4m6!3m5!1s0x133b782c0bcc4889:0x55ffd632bcecbfe4!8m2!3d40.5501356!4d14.2440275!16s%2Fg%2F1tcy0zjk?entry=ttu&amp;g_ep=EgoyMDI1MDcwNy4wIKXMDSoASAFQAw%3D%3D" TargetMode="External"/><Relationship Id="rId15" Type="http://schemas.openxmlformats.org/officeDocument/2006/relationships/hyperlink" Target="https://booking.arienzobeachclub.com/experiences/perfect-beach-day?date=2025-09-05&amp;adults=2&amp;children=0" TargetMode="External"/><Relationship Id="rId14" Type="http://schemas.openxmlformats.org/officeDocument/2006/relationships/hyperlink" Target="https://mail.google.com/mail/u/0/" TargetMode="External"/><Relationship Id="rId17" Type="http://schemas.openxmlformats.org/officeDocument/2006/relationships/hyperlink" Target="https://www.google.com/maps/place/Music+On+the+Rocks/@40.6274183,14.48811,18z/data=!3m1!4b1!4m6!3m5!1s0x133b97696391f439:0xc5a2c5d7188bb6ea!8m2!3d40.6274163!4d14.4893975!16s%2Fg%2F11b5pjvdnz?entry=ttu&amp;g_ep=EgoyMDI1MDcwNy4wIKXMDSoASAFQAw%3D%3D" TargetMode="External"/><Relationship Id="rId16" Type="http://schemas.openxmlformats.org/officeDocument/2006/relationships/hyperlink" Target="https://mail.google.com/mail/u/0/" TargetMode="External"/><Relationship Id="rId5" Type="http://schemas.openxmlformats.org/officeDocument/2006/relationships/hyperlink" Target="https://www.ferryhopper.com/en/boarding-pass?orderId=FH87PF7255RT&amp;reservationCode=WGWS2508250027&amp;digest=mPGtieLLUUVS4TF65qvs2wc6A7k%3D" TargetMode="External"/><Relationship Id="rId19" Type="http://schemas.openxmlformats.org/officeDocument/2006/relationships/hyperlink" Target="https://chatgpt.com/s/t_686ebf3d43f8819182a12051adfed264" TargetMode="External"/><Relationship Id="rId6" Type="http://schemas.openxmlformats.org/officeDocument/2006/relationships/hyperlink" Target="https://www.google.com/maps/place/Caf%C3%A9+Caso/@40.549987,14.2409869,17z/data=!4m6!3m5!1s0x133b782c88b8a4f5:0xce51517ba5422d07!8m2!3d40.5508373!4d14.2427999!16s%2Fg%2F1tkkr3py?entry=ttu&amp;g_ep=EgoyMDI1MDcwNy4wIKXMDSoASAFQAw%3D%3D" TargetMode="External"/><Relationship Id="rId18" Type="http://schemas.openxmlformats.org/officeDocument/2006/relationships/hyperlink" Target="https://mail.google.com/mail/u/0/" TargetMode="External"/><Relationship Id="rId7" Type="http://schemas.openxmlformats.org/officeDocument/2006/relationships/hyperlink" Target="https://drive.google.com/file/d/1tfcYbwqf9X3_cQlU7CzCSLZ0DSSJVznv/view?usp=drive_link" TargetMode="External"/><Relationship Id="rId8" Type="http://schemas.openxmlformats.org/officeDocument/2006/relationships/hyperlink" Target="https://mail.google.com/mail/u/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ierrainthecity.com/best-restaurants-in-positano/" TargetMode="External"/><Relationship Id="rId2" Type="http://schemas.openxmlformats.org/officeDocument/2006/relationships/hyperlink" Target="https://chatgpt.com/s/t_689bbcda238c819187519e629501892f" TargetMode="External"/><Relationship Id="rId3" Type="http://schemas.openxmlformats.org/officeDocument/2006/relationships/hyperlink" Target="https://manus.im/app/KJC6Ixn9ZFEgpriWR1GDzd"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google.com/maps/place/Hotel+Buca+di+Bacco+Positano/@40.6281328,14.4848504,17z/data=!3m1!4b1!4m10!3m9!1s0x133b9769213b5955:0xe9a7d141bd0c3bf!5m3!1s2025-09-29!4m1!1i2!8m2!3d40.6281288!4d14.4874253!16s%2Fg%2F1tf45dp7?entry=ttu&amp;g_ep=EgoyMDI1MDYyMy4yIKXMDSoASAFQAw%3D%3D" TargetMode="External"/><Relationship Id="rId42" Type="http://schemas.openxmlformats.org/officeDocument/2006/relationships/hyperlink" Target="http://booking.com/" TargetMode="External"/><Relationship Id="rId41" Type="http://schemas.openxmlformats.org/officeDocument/2006/relationships/hyperlink" Target="https://travelsecure.chase.com/details/hotels/Hotel-La-Vega/337988?h.s.sid=a616ae4d-ec1f-49df-867f-972fc9252eb4-HLNXT%241106&amp;h.s.cid=2025-08-30T00%3A00%3A00&amp;h.s.cod=2025-09-02T00%3A00%3A00&amp;h.s.dlid=57316&amp;h.s.dltype=city&amp;h.s.agc=2&amp;h.s.dlat=40.548406&amp;h.s.dlong=14.247776&amp;h.s.dcc=IT&amp;h.s.dnm=Capri%2C%20undefined&amp;h.s.st=hotels&amp;h.f.idoh=false&amp;h.p.sb=boolSortfield1%20desc%2C%20boolSortfield2%20desc%2C%20numberSortfield1%20asc%2C%20recommendation&amp;h.p.sbvh=boolSortfield1%20desc%2C%20boolSortfield2%20desc%2C%20numberSortfield1%20asc%2C%20recommendation&amp;h.p.pn=1&amp;h.p.ps=10&amp;h.p.mn=false&amp;h.sp.sb=boolSortfield1%20desc%2C%20boolSortfield2%20desc%2C%20numberSortfield1%20asc%2C%20recommendation&amp;h.sp.pn=1&amp;h.sp.ps=16&amp;cnx-onprem=false&amp;cnxtoken=be4ae747-e1c6-45d6-88a4-ca827b377b97" TargetMode="External"/><Relationship Id="rId44" Type="http://schemas.openxmlformats.org/officeDocument/2006/relationships/hyperlink" Target="https://www.booking.com/hotel/it/la-residenza-capri.html?aid=356980&amp;label=gen173nr-1FCAEoggI46AdIM1gEaIsCiAEBmAExuAEHyAEM2AEB6AEB-AECiAIBqAIDuAKc5qPCBsACAdICJDk0NjhiMDAyLTUxNTYtNGVkMS1iMzNiLTEyNjQ5YzgyMmQ5ZNgCBeACAQ&amp;sid=3c816faa411840c1b286b6a67837e90e&amp;all_sr_blocks=28472304_390665667_2_1_0&amp;checkin=2025-08-30&amp;checkout=2025-09-02&amp;dest_id=284723&amp;dest_type=hotel&amp;dist=0&amp;group_adults=2&amp;group_children=0&amp;hapos=1&amp;highlighted_blocks=28472304_390665667_2_1_0&amp;hpos=1&amp;matching_block_id=28472304_390665667_2_1_0&amp;no_rooms=1&amp;req_adults=2&amp;req_children=0&amp;room1=A%2CA&amp;sb_price_type=total&amp;sr_order=popularity&amp;sr_pri_blocks=28472304_390665667_2_1_0__216818&amp;srepoch=1751558440&amp;srpvid=42cc708ddefa07cd&amp;type=total&amp;ucfs=1&amp;" TargetMode="External"/><Relationship Id="rId43" Type="http://schemas.openxmlformats.org/officeDocument/2006/relationships/hyperlink" Target="https://www.booking.com/hotel/it/grand-parkers.html?label=gen173nr-1FCAEoggI46AdIM1gEaIsCiAEBmAExuAEHyAEM2AEB6AEB-AECiAIBqAIDuALPy6PCBsACAdICJDE2YzI5MDk1LWI5ZmYtNGQyMi1iMjQzLTdhYzVmYTYwNDJkN9gCBeACAQ&amp;sid=b0f436afcba11b41c54e2f57a3772165&amp;aid=356980&amp;ucfs=1&amp;checkin=2025-08-29&amp;checkout=2025-08-30&amp;dest_id=1292&amp;dest_type=district&amp;group_adults=2&amp;no_rooms=1&amp;group_children=0&amp;nflt=review_score%3D90%3Bht_id%3D204&amp;srpvid=58bf186d53030146&amp;srepoch=1749612583&amp;matching_block_id=1942401_95144168_2_1_0&amp;atlas_src=sr_iw_title" TargetMode="External"/><Relationship Id="rId46" Type="http://schemas.openxmlformats.org/officeDocument/2006/relationships/hyperlink" Target="http://booking.com/hotel/it/grand-santa-lucia.html?label=gen173nr-1FCAEoggI46AdIM1gEaIsCiAEBmAExuAEHyAEM2AEB6AEB-AECiAIBqAIDuAKEu-3CBsACAdICJDYxMmI4N2VjLWI3MjUtNGRiYi05MThkLTM2MTEyOWFjY2IxOdgCBeACAQ&amp;aid=304142&amp;ucfs=1&amp;checkin=2025-08-29&amp;checkout=2025-08-30&amp;dest_id=1292&amp;dest_type=district&amp;group_adults=2&amp;no_rooms=1&amp;group_children=0&amp;nflt=oos%3D1%3Breview_score%3D80%3Breview_score%3D90%3Bht_id%3D204&amp;srpvid=accc1207f87a0377&amp;srepoch=1750818848&amp;matching_block_id=8953802_88441042_0_2_0&amp;atlas_src=sr_iw_title" TargetMode="External"/><Relationship Id="rId45" Type="http://schemas.openxmlformats.org/officeDocument/2006/relationships/hyperlink" Target="https://www.google.com/maps/place/Fiordo+di+Furore/@40.614338,14.5520156,17z/data=!3m1!4b1!4m6!3m5!1s0x133b96a2cb4b931d:0xb2c9742dd2d12e93!8m2!3d40.614338!4d14.5545905!16s%2Fg%2F12637tlj7?entry=ttu&amp;g_ep=EgoyMDI1MDYxMS4wIKXMDSoASAFQAw%3D%3D" TargetMode="External"/><Relationship Id="rId1" Type="http://schemas.openxmlformats.org/officeDocument/2006/relationships/comments" Target="../comments2.xml"/><Relationship Id="rId2" Type="http://schemas.openxmlformats.org/officeDocument/2006/relationships/hyperlink" Target="https://www.google.com/maps/d/u/0/edit?mid=18Dqzz4QZ23lY6n6rfF6WH_L49SeX2Mc&amp;ll=40.844698758005805%2C14.256597782001487&amp;z=15" TargetMode="External"/><Relationship Id="rId3" Type="http://schemas.openxmlformats.org/officeDocument/2006/relationships/hyperlink" Target="https://docs.google.com/spreadsheets/d/1AzNHzkwpaUSJMpYNtbR6r2juFnLyIkeCldO7YNjXXI4/edit?gid=0" TargetMode="External"/><Relationship Id="rId4" Type="http://schemas.openxmlformats.org/officeDocument/2006/relationships/hyperlink" Target="https://www.fontelina-capri.com/en/beach" TargetMode="External"/><Relationship Id="rId9" Type="http://schemas.openxmlformats.org/officeDocument/2006/relationships/hyperlink" Target="https://www.booking.com/hotel/it/casa-nilde-once-in-your-life-positano.html?aid=304142&amp;label=gen173nr-1FCAEoggI46AdIM1gEaIsCiAEBmAExuAEHyAEM2AEB6AEB-AECiAIBqAIDuAKQkbXDBsACAdICJGQ1OTEyNjE5LTEyM2QtNGQ2ZC04Mjk3LTdjZDljMzY2MzI0ZtgCBeACAQ&amp;sid=91e2d0ea79d87936e43a9a54a56f11ca&amp;all_sr_blocks=41312811_233801171_2_1_0&amp;checkin=2025-09-04&amp;checkout=2025-09-08&amp;dest_id=-125592&amp;dest_type=city&amp;dist=0&amp;group_adults=2&amp;group_children=0&amp;hapos=1&amp;highlighted_blocks=41312811_233801171_2_1_0&amp;hpos=1&amp;matching_block_id=41312811_233801171_2_1_0&amp;nflt=review_score%3D90&amp;no_rooms=1&amp;req_adults=2&amp;req_children=0&amp;room1=A%2CA&amp;sb_price_type=total&amp;sr_order=popularity&amp;sr_pri_blocks=41312811_233801171_2_1_0__202542&amp;srepoch=1751992523&amp;srpvid=cb73da5c7667e1a0328c6f1fcfd20916&amp;type=total&amp;ucfs=1&amp;" TargetMode="External"/><Relationship Id="rId48" Type="http://schemas.openxmlformats.org/officeDocument/2006/relationships/hyperlink" Target="https://www.booking.com/hotel/it/relais-sul-mare.html?label=gen173nr-1FCAEoggI46AdIM1gEaIsCiAEBmAExuAEHyAEM2AEB6AEB-AECiAIBqAIDuAKEu-3CBsACAdICJDYxMmI4N2VjLWI3MjUtNGRiYi05MThkLTM2MTEyOWFjY2IxOdgCBeACAQ&amp;aid=304142&amp;ucfs=1&amp;checkin=2025-08-29&amp;checkout=2025-08-30&amp;dest_id=1292&amp;dest_type=district&amp;group_adults=2&amp;no_rooms=1&amp;group_children=0&amp;nflt=oos%3D1%3Breview_score%3D80%3Breview_score%3D90%3Bht_id%3D204&amp;srpvid=accc1207f87a0377&amp;srepoch=1750818848&amp;matching_block_id=40645911_407022742_2_9_0&amp;atlas_src=sr_iw_title" TargetMode="External"/><Relationship Id="rId47" Type="http://schemas.openxmlformats.org/officeDocument/2006/relationships/hyperlink" Target="http://booking.com/hotel/it/caruso-place-buotique-amp-wellness-suites.html?label=gen173nr-1FCAEoggI46AdIM1gEaIsCiAEBmAExuAEHyAEM2AEB6AEB-AECiAIBqAIDuAKEu-3CBsACAdICJDYxMmI4N2VjLWI3MjUtNGRiYi05MThkLTM2MTEyOWFjY2IxOdgCBeACAQ&amp;aid=304142&amp;ucfs=1&amp;checkin=2025-08-29&amp;checkout=2025-08-30&amp;dest_id=1292&amp;dest_type=district&amp;group_adults=2&amp;no_rooms=1&amp;group_children=0&amp;nflt=oos%3D1%3Breview_score%3D80%3Breview_score%3D90%3Bht_id%3D204&amp;srpvid=accc1207f87a0377&amp;srepoch=1750818848&amp;matching_block_id=322180401_385536454_2_0_0&amp;atlas_src=sr_iw_title" TargetMode="External"/><Relationship Id="rId49" Type="http://schemas.openxmlformats.org/officeDocument/2006/relationships/hyperlink" Target="https://www.booking.com/hotel/it/casa-nilde-once-in-your-life-positano.html?aid=304142&amp;label=gen173nr-1FCAEoggI46AdIM1gEaIsCiAEBmAExuAEHyAEM2AEB6AEB-AECiAIBqAIDuAKQkbXDBsACAdICJGQ1OTEyNjE5LTEyM2QtNGQ2ZC04Mjk3LTdjZDljMzY2MzI0ZtgCBeACAQ&amp;sid=91e2d0ea79d87936e43a9a54a56f11ca&amp;all_sr_blocks=41312811_233801171_2_1_0&amp;checkin=2025-09-04&amp;checkout=2025-09-08&amp;dest_id=-125592&amp;dest_type=city&amp;dist=0&amp;group_adults=2&amp;group_children=0&amp;hapos=1&amp;highlighted_blocks=41312811_233801171_2_1_0&amp;hpos=1&amp;matching_block_id=41312811_233801171_2_1_0&amp;nflt=review_score%3D90&amp;no_rooms=1&amp;req_adults=2&amp;req_children=0&amp;room1=A%2CA&amp;sb_price_type=total&amp;sr_order=popularity&amp;sr_pri_blocks=41312811_233801171_2_1_0__202542&amp;srepoch=1751992523&amp;srpvid=cb73da5c7667e1a0328c6f1fcfd20916&amp;type=total&amp;ucfs=1&amp;" TargetMode="External"/><Relationship Id="rId5" Type="http://schemas.openxmlformats.org/officeDocument/2006/relationships/hyperlink" Target="https://www.booking.com/hotel/it/flora-capri1.html?aid=304142&amp;label=gen173nr-1FCAEoggI46AdIM1gEaIsCiAEBmAExuAEHyAEM2AEB6AEB-AECiAIBqAIDuALPy6PCBsACAdICJDE2YzI5MDk1LWI5ZmYtNGQyMi1iMjQzLTdhYzVmYTYwNDJkN9gCBeACAQ&amp;sid=cfaa016b584a1bfec231bbd636312d25&amp;all_sr_blocks=24232011_352335116_2_1_0&amp;checkin=2025-08-30&amp;checkout=2025-09-02&amp;dest_id=1434&amp;dest_type=region&amp;dist=0&amp;group_adults=2&amp;group_children=0&amp;hapos=6&amp;highlighted_blocks=24232011_352335116_2_1_0&amp;hpos=6&amp;matching_block_id=24232011_352335116_2_1_0&amp;nflt=review_score%3D90%3Bht_id%3D204&amp;no_rooms=1&amp;req_adults=2&amp;req_children=0&amp;room1=A%2CA&amp;sb_price_type=total&amp;sr_order=popularity&amp;sr_pri_blocks=24232011_352335116_2_1_0__269182&amp;srepoch=1749608172&amp;srpvid=252c0f71c06b0220&amp;type=total&amp;ucfs=1&amp;" TargetMode="External"/><Relationship Id="rId6" Type="http://schemas.openxmlformats.org/officeDocument/2006/relationships/hyperlink" Target="https://hoodmaps.com/naples-neighborhood-map" TargetMode="External"/><Relationship Id="rId7" Type="http://schemas.openxmlformats.org/officeDocument/2006/relationships/hyperlink" Target="https://www.latagliata.com/" TargetMode="External"/><Relationship Id="rId8" Type="http://schemas.openxmlformats.org/officeDocument/2006/relationships/hyperlink" Target="https://www.booking.com/hotel/it/villa-marina-capri.html?aid=304142&amp;label=gen173nr-1FCAEoggI46AdIM1gEaIsCiAEBmAExuAEHyAEM2AEB6AEB-AECiAIBqAIDuALPy6PCBsACAdICJDE2YzI5MDk1LWI5ZmYtNGQyMi1iMjQzLTdhYzVmYTYwNDJkN9gCBeACAQ&amp;sid=cfaa016b584a1bfec231bbd636312d25&amp;all_sr_blocks=1926914_95144022_2_1_0&amp;checkin=2025-08-30&amp;checkout=2025-09-02&amp;dest_id=1434&amp;dest_type=region&amp;dist=0&amp;group_adults=2&amp;group_children=0&amp;hapos=11&amp;highlighted_blocks=1926914_95144022_2_1_0&amp;hpos=11&amp;matching_block_id=1926914_95144022_2_1_0&amp;nflt=review_score%3D90%3Bht_id%3D204&amp;no_rooms=1&amp;req_adults=2&amp;req_children=0&amp;room1=A%2CA&amp;sb_price_type=total&amp;show_room=1926914&amp;sr_order=popularity&amp;sr_pri_blocks=1926914_95144022_2_1_0__252727&amp;srepoch=1749608599&amp;srpvid=252c0f71c06b0220&amp;type=total&amp;ucfs=1&amp;" TargetMode="External"/><Relationship Id="rId31" Type="http://schemas.openxmlformats.org/officeDocument/2006/relationships/hyperlink" Target="https://www.booking.com/hotel/it/montemare.html?aid=304142&amp;label=gen173nr-1FCAEoggI46AdIM1gEaIsCiAEBmAExuAEHyAEM2AEB6AEB-AECiAIBqAIDuALcu7fDBsACAdICJGU1ZTQ5MzRmLWQzYWItNDk3MS1iZjg3LTMxNmM1ZjEwNGFlZNgCBeACAQ&amp;sid=91e2d0ea79d87936e43a9a54a56f11ca&amp;all_sr_blocks=8444317_88437847_0_1_0&amp;checkin=2025-09-04&amp;checkout=2025-09-08&amp;dest_id=84044&amp;dest_type=hotel&amp;dist=0&amp;group_adults=2&amp;group_children=0&amp;hapos=11&amp;highlighted_blocks=8444317_88437847_0_1_0&amp;hpos=11&amp;map=1&amp;matching_block_id=8444317_88437847_0_1_0&amp;no_rooms=1&amp;req_adults=2&amp;req_children=0&amp;room1=A%2CA&amp;sb_price_type=total&amp;sr_order=popularity&amp;sr_pri_blocks=8444317_88437847_0_1_0__354917&amp;srepoch=1752032231&amp;srpvid=0b68eb1165d4012ff01b6b3dea003eff&amp;type=total&amp;ucfs=1&amp;" TargetMode="External"/><Relationship Id="rId30" Type="http://schemas.openxmlformats.org/officeDocument/2006/relationships/hyperlink" Target="https://www.booking.com/hotel/it/villa-ceselle.html?aid=356980&amp;label=gen173nr-1FCAEoggI46AdIM1gEaIsCiAEBmAExuAEHyAEM2AEB6AEB-AECiAIBqAIDuALPy6PCBsACAdICJDE2YzI5MDk1LWI5ZmYtNGQyMi1iMjQzLTdhYzVmYTYwNDJkN9gCBeACAQ&amp;sid=91e2d0ea79d87936e43a9a54a56f11ca&amp;all_sr_blocks=25648702_381951937_2_1_0&amp;checkin=2025-08-30&amp;checkout=2025-09-02&amp;dest_id=256487&amp;dest_type=hotel&amp;dist=0&amp;group_adults=2&amp;group_children=0&amp;hapos=1&amp;highlighted_blocks=25648702_381951937_2_1_0&amp;hpos=1&amp;matching_block_id=25648702_381951937_2_1_0&amp;no_rooms=1&amp;req_adults=2&amp;req_children=0&amp;room1=A%2CA&amp;sb_price_type=total&amp;sr_order=popularity&amp;sr_pri_blocks=25648702_381951937_2_1_0__62727&amp;srepoch=1749612423&amp;srpvid=0ef218118f200154&amp;type=total&amp;ucfs=1&amp;" TargetMode="External"/><Relationship Id="rId33" Type="http://schemas.openxmlformats.org/officeDocument/2006/relationships/hyperlink" Target="https://www.booking.com/hotel/it/villa-joseph-positano.html?label=gen173nr-1FCAEoggI46AdIM1gEaIsCiAEBmAExuAEHyAEM2AEB6AEB-AECiAIBqAIDuALcu7fDBsACAdICJGU1ZTQ5MzRmLWQzYWItNDk3MS1iZjg3LTMxNmM1ZjEwNGFlZNgCBeACAQ&amp;aid=304142&amp;ucfs=1&amp;checkin=2025-09-04&amp;checkout=2025-09-08&amp;dest_id=-125592&amp;dest_type=city&amp;group_adults=2&amp;no_rooms=1&amp;group_children=0&amp;srpvid=0b68eb1165d4012ff01b6b3dea003eff&amp;srepoch=1752032280&amp;matching_block_id=1140008401_386869287_2_0_0&amp;atlas_src=sr_iw_title" TargetMode="External"/><Relationship Id="rId32" Type="http://schemas.openxmlformats.org/officeDocument/2006/relationships/hyperlink" Target="https://www.booking.com/hotel/it/capri-tiberio-palace-resort-spa.html?aid=304142&amp;label=gen173nr-1FCAEoggI46AdIM1gEaIsCiAEBmAExuAEHyAEM2AEB6AEB-AECiAIBqAIDuAKOzcjCBsACAdICJDgwMDRiNjgxLWI5MmUtNDZlZi05YzA0LTRhZTQyYTZiNDVmNNgCBeACAQ&amp;sid=91e2d0ea79d87936e43a9a54a56f11ca&amp;all_sr_blocks=1664110_95141337_2_1_0&amp;checkin=2025-08-30&amp;checkout=2025-09-02&amp;dest_id=-113213&amp;dest_type=city&amp;dist=0&amp;group_adults=2&amp;group_children=0&amp;hapos=11&amp;highlighted_blocks=1664110_95141337_2_1_0&amp;hpos=11&amp;matching_block_id=1664110_95141337_2_1_0&amp;nflt=review_score%3D90%3Bht_id%3D204&amp;no_rooms=1&amp;req_adults=2&amp;req_children=0&amp;room1=A%2CA&amp;sb_price_type=total&amp;sr_order=popularity&amp;sr_pri_blocks=1664110_95141337_2_1_0__414027&amp;srepoch=1750214815&amp;srpvid=3ce312deb2d90243&amp;type=total&amp;ucfs=1&amp;" TargetMode="External"/><Relationship Id="rId35" Type="http://schemas.openxmlformats.org/officeDocument/2006/relationships/hyperlink" Target="https://www.instagram.com/reel/C7l2vObslZ4/" TargetMode="External"/><Relationship Id="rId34" Type="http://schemas.openxmlformats.org/officeDocument/2006/relationships/hyperlink" Target="https://www.booking.com/searchresults.html?label=gen173nr-1FCAEoggI46AdIM1gEaIsCiAEBmAExuAEHyAEM2AEB6AEB-AECiAIBqAIDuAKAhqbCBsACAdICJDJjMmU5YTA5LWQ4MWYtNDY1My1iZWU5LTU0MWMxM2Y1NzZiNdgCBeACAQ&amp;aid=304142&amp;ss=Capri&amp;ssne=Capri&amp;ssne_untouched=Capri&amp;lang=en-us&amp;src=index&amp;dest_id=-113213&amp;dest_type=city&amp;checkin=2025-08-30&amp;checkout=2025-09-02&amp;group_adults=2&amp;no_rooms=1&amp;group_children=0&amp;nflt=review_score%3D90%3Bht_id%3D204" TargetMode="External"/><Relationship Id="rId37" Type="http://schemas.openxmlformats.org/officeDocument/2006/relationships/hyperlink" Target="https://www.booking.com/hotel/it/sunbliss-capri.html?aid=304142&amp;label=gen173nr-1FCAEoggI46AdIM1gEaIsCiAEBmAExuAEHyAEM2AEB6AEB-AECiAIBqAIDuAKOzcjCBsACAdICJDgwMDRiNjgxLWI5MmUtNDZlZi05YzA0LTRhZTQyYTZiNDVmNNgCBeACAQ&amp;sid=91e2d0ea79d87936e43a9a54a56f11ca&amp;all_sr_blocks=1193353701_391792346_2_0_0&amp;checkin=2025-08-30&amp;checkout=2025-09-02&amp;dest_id=-113213&amp;dest_type=city&amp;dist=0&amp;group_adults=2&amp;group_children=0&amp;hapos=6&amp;highlighted_blocks=1193353701_391792346_2_0_0&amp;hpos=6&amp;matching_block_id=1193353701_391792346_2_0_0&amp;nflt=review_score%3D90%3Broomfacility%3D108&amp;no_rooms=1&amp;req_adults=2&amp;req_children=0&amp;room1=A%2CA&amp;sb_price_type=total&amp;sr_order=popularity&amp;sr_pri_blocks=1193353701_391792346_2_0_0__102973&amp;srepoch=1750214522&amp;srpvid=3ce312deb2d90243&amp;type=total&amp;ucfs=1&amp;" TargetMode="External"/><Relationship Id="rId36" Type="http://schemas.openxmlformats.org/officeDocument/2006/relationships/hyperlink" Target="https://www.reddit.com/r/Insurance_Companies/comments/1fka9cj/best_travel_insurance_according_to_reddit_reviews/" TargetMode="External"/><Relationship Id="rId39" Type="http://schemas.openxmlformats.org/officeDocument/2006/relationships/hyperlink" Target="https://www.booking.com/hotel/it/villa-marina-capri.html?aid=311088&amp;label=hotel-19269-it-1b0VkcPVabQzTjtHjBEZtAS390272352409%3Apl%3Ata%3Ap1%3Ap2%3Aac%3Aap%3Aneg%3Afi%3Atikwd-2409853407325%3Alp1014843%3Ali%3Adec%3Adm%3Appccp%3DUmFuZG9tSVYkc2RlIyh9YcUc3ZfdbbfEjx46svoSs2o&amp;sid=91e2d0ea79d87936e43a9a54a56f11ca&amp;all_sr_blocks=1926914_95144022_2_1_0&amp;checkin=2025-08-30&amp;checkout=2025-09-02&amp;dest_id=-113213&amp;dest_type=city&amp;dist=0&amp;group_adults=2&amp;group_children=0&amp;hapos=1&amp;highlighted_blocks=1926914_95144022_2_1_0&amp;hpos=1&amp;matching_block_id=1926914_95144022_2_1_0&amp;no_rooms=1&amp;req_adults=2&amp;req_children=0&amp;room1=A%2CA&amp;sb_price_type=total&amp;sr_order=popularity&amp;sr_pri_blocks=1926914_95144022_2_1_0__218455&amp;srepoch=1751296031&amp;srpvid=6f6c6a5096560360&amp;type=total&amp;ucfs=1&amp;" TargetMode="External"/><Relationship Id="rId38" Type="http://schemas.openxmlformats.org/officeDocument/2006/relationships/hyperlink" Target="https://travelsecure.chase.com/details/hotels/deeplink/101213?h.s.sid=738fb4a3-0cc3-4762-b96b-5ada784608d8-HLNXT%241106&amp;h.s.dltype=City&amp;h.s.agc=2&amp;h.s.dlat=40.545327&amp;h.s.dlong=14.250296&amp;h.s.dcc=IT&amp;h.s.dnm=Capri%2C%20undefined&amp;h.s.st=hotels&amp;cnx-onprem=false&amp;cnxtoken=1c0ed404-8214-4088-b50d-e8bedf7b7c74" TargetMode="External"/><Relationship Id="rId20" Type="http://schemas.openxmlformats.org/officeDocument/2006/relationships/hyperlink" Target="https://travelsecure.chase.com/details/hotels/Poseidon-Hotel/29743?h.s.sid=051ef66c-aa87-458a-ac92-9e622325da8b-HLNXT%241106&amp;h.s.cid=2025-09-04T00%3A00%3A00&amp;h.s.cod=2025-09-08T00%3A00%3A00&amp;h.s.dlid=29743&amp;h.s.dltype=hotel&amp;h.s.agc=2&amp;h.s.dlat=40.628796&amp;h.s.dlong=14.48216&amp;h.s.dcc=IT&amp;h.s.dnm=Positano%2C%20undefined&amp;h.s.st=hotels&amp;h.f.idoh=false&amp;h.p.sb=boolSortfield1%20desc%2C%20boolSortfield2%20desc%2C%20numberSortfield1%20asc%2C%20recommendation&amp;h.p.sbvh=boolSortfield1%20desc%2C%20boolSortfield2%20desc%2C%20numberSortfield1%20asc%2C%20recommendation&amp;h.p.pn=1&amp;h.p.ps=10&amp;h.p.bm=h-29743&amp;h.p.mn=false&amp;h.sp.sb=boolSortfield1%20desc%2C%20boolSortfield2%20desc%2C%20numberSortfield1%20asc%2C%20recommendation&amp;h.sp.pn=1&amp;h.sp.ps=16&amp;cnx-onprem=false&amp;cnxtoken=3d9572c9-5c66-4d26-a92a-adeb2168f20b" TargetMode="External"/><Relationship Id="rId22" Type="http://schemas.openxmlformats.org/officeDocument/2006/relationships/hyperlink" Target="https://www.mammaagata.com/booking-form/" TargetMode="External"/><Relationship Id="rId21" Type="http://schemas.openxmlformats.org/officeDocument/2006/relationships/hyperlink" Target="https://www.icloud.com/notes/note/UHJpdmF0ZTo6Tm90ZXM6OmN1cnJlbnRVc2VyOjozQzY2Q0M5OC1CNTg1LTQ5QTItOTI0Ny0wQzQ0NDJCQjY4ODU=" TargetMode="External"/><Relationship Id="rId24" Type="http://schemas.openxmlformats.org/officeDocument/2006/relationships/hyperlink" Target="https://www.booking.com/hotel/it/savoia.html?aid=304142&amp;label=gen173nr-1FCAEoggI46AdIM1gEaIsCiAEBmAExuAEHyAEM2AEB6AEB-AECiAIBqAIDuALcu7fDBsACAdICJGU1ZTQ5MzRmLWQzYWItNDk3MS1iZjg3LTMxNmM1ZjEwNGFlZNgCBeACAQ&amp;sid=91e2d0ea79d87936e43a9a54a56f11ca&amp;all_sr_blocks=8404404_408076115_0_1_0&amp;checkin=2025-09-04&amp;checkout=2025-09-08&amp;dest_id=84044&amp;dest_type=hotel&amp;dist=0&amp;group_adults=2&amp;group_children=0&amp;hapos=1&amp;highlighted_blocks=8404404_408076115_0_1_0&amp;hpos=1&amp;matching_block_id=8404404_408076115_0_1_0&amp;no_rooms=1&amp;req_adults=2&amp;req_children=0&amp;room1=A%2CA&amp;sb_price_type=total&amp;sr_order=popularity&amp;sr_pri_blocks=8404404_408076115_0_1_0__312602&amp;srepoch=1752030858&amp;srpvid=92225f858939c9db94232b1e576d8694&amp;type=total&amp;ucfs=1&amp;" TargetMode="External"/><Relationship Id="rId23" Type="http://schemas.openxmlformats.org/officeDocument/2006/relationships/hyperlink" Target="https://www.booking.com/hotel/it/pazziella.html?label=gen173nr-1FCAEoggI46AdIM1gEaIsCiAEBmAExuAEHyAEM2AEB6AEB-AECiAIBqAIDuAKc5qPCBsACAdICJDk0NjhiMDAyLTUxNTYtNGVkMS1iMzNiLTEyNjQ5YzgyMmQ5ZNgCBeACAQ&amp;aid=304142&amp;ucfs=1&amp;arphpl=1&amp;checkin=2025-08-30&amp;checkout=2025-09-02&amp;dest_id=1957968&amp;dest_type=hotel&amp;group_adults=2&amp;req_adults=2&amp;no_rooms=1&amp;group_children=0&amp;req_children=0&amp;ucfac=3151" TargetMode="External"/><Relationship Id="rId26" Type="http://schemas.openxmlformats.org/officeDocument/2006/relationships/hyperlink" Target="https://www.palazzoavino.com/" TargetMode="External"/><Relationship Id="rId25" Type="http://schemas.openxmlformats.org/officeDocument/2006/relationships/hyperlink" Target="https://manus.im/app/KJC6Ixn9ZFEgpriWR1GDzd" TargetMode="External"/><Relationship Id="rId28" Type="http://schemas.openxmlformats.org/officeDocument/2006/relationships/hyperlink" Target="https://travelsecure.chase.com/details/hotels/Villa-Certosa-Capri-Boutique-Hotel/6162057?h.s.sid=3a5d3c07-3e1c-4131-a3a6-cc8a30808d3a-HLNXT%241106&amp;h.s.cid=2025-08-31T00%3A00%3A00&amp;h.s.cod=2025-09-02T00%3A00%3A00&amp;h.s.dlid=57316&amp;h.s.dltype=city&amp;h.s.agc=2&amp;h.s.dlat=40.548631&amp;h.s.dlong=14.245382&amp;h.s.dcc=IT&amp;h.s.dnm=Capri%2C%20undefined&amp;h.s.st=hotels&amp;h.f.idoh=false&amp;h.p.sb=boolSortfield1%20desc%2C%20boolSortfield2%20desc%2C%20numberSortfield1%20asc%2C%20recommendation&amp;h.p.sbvh=boolSortfield1%20desc%2C%20boolSortfield2%20desc%2C%20numberSortfield1%20asc%2C%20recommendation&amp;h.p.pn=3&amp;h.p.ps=10&amp;h.p.bm=h-6162057&amp;h.p.mn=false&amp;cnx-onprem=false&amp;cnxtoken=bc2de4e7-ac07-44c8-9aa2-2c5da0d05860" TargetMode="External"/><Relationship Id="rId27" Type="http://schemas.openxmlformats.org/officeDocument/2006/relationships/hyperlink" Target="https://www.booking.com/hotel/it/villa-certosa-capri.html?aid=356980&amp;label=gen173nr-1FCAEoggI46AdIM1gEaIsCiAEBmAExuAEHyAEM2AEB6AEB-AECiAIBqAIDuALPy6PCBsACAdICJDE2YzI5MDk1LWI5ZmYtNGQyMi1iMjQzLTdhYzVmYTYwNDJkN9gCBeACAQ&amp;sid=91e2d0ea79d87936e43a9a54a56f11ca&amp;all_sr_blocks=1261424606_398756871_2_1_0&amp;checkin=2025-08-30&amp;checkout=2025-09-02&amp;dest_id=12614246&amp;dest_type=hotel&amp;dist=0&amp;group_adults=2&amp;group_children=0&amp;hapos=1&amp;highlighted_blocks=1261424606_398756871_2_1_0&amp;hpos=1&amp;matching_block_id=1261424606_398756871_2_1_0&amp;no_rooms=1&amp;req_adults=2&amp;req_children=0&amp;room1=A%2CA&amp;sb_price_type=total&amp;sr_order=popularity&amp;sr_pri_blocks=1261424606_398756871_2_1_0__324000&amp;srepoch=1749612254&amp;srpvid=916b17ecc9d8025b&amp;type=total&amp;ucfs=1&amp;" TargetMode="External"/><Relationship Id="rId29" Type="http://schemas.openxmlformats.org/officeDocument/2006/relationships/hyperlink" Target="https://www.booking.com/hotel/it/la-caravella-positano.html?label=gen173nr-1FCAEoggI46AdIM1gEaIsCiAEBmAExuAEHyAEM2AEB6AEB-AECiAIBqAIDuALcu7fDBsACAdICJGU1ZTQ5MzRmLWQzYWItNDk3MS1iZjg3LTMxNmM1ZjEwNGFlZNgCBeACAQ&amp;aid=304142&amp;ucfs=1&amp;checkin=2025-09-04&amp;checkout=2025-09-08&amp;group_adults=2&amp;no_rooms=1&amp;group_children=0&amp;srpvid=4650188dbd310021&amp;srepoch=1752031971&amp;matching_block_id=18649809_88921734_0_0_0&amp;atlas_src=hp_iw_title&amp;activeTab=main" TargetMode="External"/><Relationship Id="rId51" Type="http://schemas.openxmlformats.org/officeDocument/2006/relationships/vmlDrawing" Target="../drawings/vmlDrawing2.vml"/><Relationship Id="rId50" Type="http://schemas.openxmlformats.org/officeDocument/2006/relationships/drawing" Target="../drawings/drawing3.xml"/><Relationship Id="rId11" Type="http://schemas.openxmlformats.org/officeDocument/2006/relationships/hyperlink" Target="http://booking.com/hotel/it/palazzo-morgano.html?aid=304142&amp;label=gen173nr-1FCAEoggI46AdIM1gEaIsCiAEBmAExuAEHyAEM2AEB6AEB-AECiAIBqAIDuALPy6PCBsACAdICJDE2YzI5MDk1LWI5ZmYtNGQyMi1iMjQzLTdhYzVmYTYwNDJkN9gCBeACAQ&amp;sid=cfaa016b584a1bfec231bbd636312d25&amp;all_sr_blocks=947033603_367264441_2_2_0&amp;checkin=2025-08-30&amp;checkout=2025-09-02&amp;dest_id=1434&amp;dest_type=region&amp;dist=0&amp;group_adults=2&amp;group_children=0&amp;hapos=1&amp;highlighted_blocks=947033603_367264441_2_2_0&amp;hpos=1&amp;matching_block_id=947033603_367264441_2_2_0&amp;nflt=review_score%3D90%3Bht_id%3D204&amp;no_rooms=1&amp;req_adults=2&amp;req_children=0&amp;room1=A%2CA&amp;sb_price_type=total&amp;sr_order=popularity&amp;sr_pri_blocks=947033603_367264441_2_2_0__385480&amp;srepoch=1749608653&amp;srpvid=252c0f71c06b0220&amp;type=total&amp;ucfs=1&amp;" TargetMode="External"/><Relationship Id="rId10" Type="http://schemas.openxmlformats.org/officeDocument/2006/relationships/hyperlink" Target="https://chatgpt.com/c/6846f0da-7884-8009-ad13-dba01dfa021d" TargetMode="External"/><Relationship Id="rId13" Type="http://schemas.openxmlformats.org/officeDocument/2006/relationships/hyperlink" Target="https://www.icloud.com/notes/note/UHJpdmF0ZTo6Tm90ZXM6OmN1cnJlbnRVc2VyOjpEOEMxNDI4OC05MzRBLTQ2M0MtQTgyRC01NzJBOTZDMjE4MUM=" TargetMode="External"/><Relationship Id="rId12" Type="http://schemas.openxmlformats.org/officeDocument/2006/relationships/hyperlink" Target="https://www.booking.com/hotel/it/your-home-in-the-heart-of-positano.html?aid=304142&amp;label=gen173nr-1FCAEoggI46AdIM1gEaIsCiAEBmAExuAEHyAEM2AEB6AEB-AECiAIBqAIDuAKQkbXDBsACAdICJGQ1OTEyNjE5LTEyM2QtNGQ2ZC04Mjk3LTdjZDljMzY2MzI0ZtgCBeACAQ&amp;sid=91e2d0ea79d87936e43a9a54a56f11ca&amp;all_sr_blocks=705165701_326666022_2_0_0&amp;checkin=2025-09-04&amp;checkout=2025-09-08&amp;dest_id=-125592&amp;dest_type=city&amp;dist=0&amp;group_adults=2&amp;group_children=0&amp;hapos=3&amp;highlighted_blocks=705165701_326666022_2_0_0&amp;hpos=3&amp;matching_block_id=705165701_326666022_2_0_0&amp;nflt=review_score%3D90&amp;no_rooms=1&amp;req_adults=2&amp;req_children=0&amp;room1=A%2CA&amp;sb_price_type=total&amp;sr_order=popularity&amp;sr_pri_blocks=705165701_326666022_2_0_0__240364&amp;srepoch=1751992595&amp;srpvid=cb73da5c7667e1a0328c6f1fcfd20916&amp;type=total&amp;ucfs=1&amp;" TargetMode="External"/><Relationship Id="rId15" Type="http://schemas.openxmlformats.org/officeDocument/2006/relationships/hyperlink" Target="https://www.booking.com/hotel/it/casa-mariantonia.html?aid=304142&amp;label=gen173nr-1FCAEoggI46AdIM1gEaIsCiAEBmAExuAEHyAEM2AEB6AEB-AECiAIBqAIDuALPy6PCBsACAdICJDE2YzI5MDk1LWI5ZmYtNGQyMi1iMjQzLTdhYzVmYTYwNDJkN9gCBeACAQ&amp;sid=cfaa016b584a1bfec231bbd636312d25&amp;all_sr_blocks=8829106_0_2_1_0&amp;checkin=2025-08-30&amp;checkout=2025-09-02&amp;dest_id=1434&amp;dest_type=region&amp;dist=0&amp;group_adults=2&amp;group_children=0&amp;hapos=8&amp;highlighted_blocks=8829106_0_2_1_0&amp;hpos=8&amp;matching_block_id=8829106_0_2_1_0&amp;nflt=review_score%3D90%3Bht_id%3D204&amp;no_rooms=1&amp;req_adults=2&amp;req_children=0&amp;room1=A%2CA&amp;sb_price_type=total&amp;sr_order=popularity&amp;sr_pri_blocks=8829106_0_2_1_0__147739&amp;srepoch=1749608135&amp;srpvid=252c0f71c06b0220&amp;type=total&amp;ucfs=1&amp;" TargetMode="External"/><Relationship Id="rId14" Type="http://schemas.openxmlformats.org/officeDocument/2006/relationships/hyperlink" Target="https://www.google.com/maps/place/Da+Paolino/@40.5578343,14.2328522,3a,75y,90t/data=!3m8!1e2!3m6!1sCIHM0ogKEICAgIDbhpjmzwE!2e10!3e12!6shttps:%2F%2Flh3.googleusercontent.com%2Fgps-cs-s%2FAC9h4np1x1Mb5mnvMo7MV_Pgb1iSRKCp1XDA0uXUnz_UqQiOY--waQ72fRvhEHj3AmvOqRr8rfFe043WpL7Lqpl16VTeF4LzgFRbrd0RGWf2Uzrr2hnkLArnz36i4-HoypHwGf2cQ3j3OA%3Dw114-h86-k-no!7i5712!8i4284!4m11!1m2!2m1!1sda+paolino!3m7!1s0x133b777da75b2829:0x9cf59a63c0fd937!8m2!3d40.5578546!4d14.2327761!10e5!15sCgpkYSBwYW9saW5vWgwiCmRhIHBhb2xpbm-SAQpyZXN0YXVyYW50qgEyEAEyHhABIhrxhaA1rWXfys8I17OiIyVMyydbLorp7DCC1zIOEAIiCmRhIHBhb2xpbm_gAQA!16s%2Fg%2F1tfd__ss?entry=ttu&amp;g_ep=EgoyMDI1MDYxMS4wIKXMDSoASAFQAw%3D%3D" TargetMode="External"/><Relationship Id="rId17" Type="http://schemas.openxmlformats.org/officeDocument/2006/relationships/hyperlink" Target="https://chatgpt.com/c/68470071-5984-8009-811f-d28da2a85aa2" TargetMode="External"/><Relationship Id="rId16" Type="http://schemas.openxmlformats.org/officeDocument/2006/relationships/hyperlink" Target="https://www.booking.com/hotel/it/villa-joseph-positano.html?label=gen173nr-1FCAEoggI46AdIM1gEaIsCiAEBmAExuAEHyAEM2AEB6AEB-AECiAIBqAIDuAKQkbXDBsACAdICJGQ1OTEyNjE5LTEyM2QtNGQ2ZC04Mjk3LTdjZDljMzY2MzI0ZtgCBeACAQ&amp;aid=304142&amp;ucfs=1&amp;checkin=2025-09-04&amp;checkout=2025-09-08&amp;dest_id=-125592&amp;dest_type=city&amp;group_adults=2&amp;no_rooms=1&amp;group_children=0&amp;nflt=review_score%3D90&amp;srpvid=cb73da5c7667e1a0328c6f1fcfd20916&amp;srepoch=1751995791&amp;matching_block_id=1140008401_386869287_2_0_0&amp;atlas_src=sr_iw_title&amp;activeTab=main" TargetMode="External"/><Relationship Id="rId19" Type="http://schemas.openxmlformats.org/officeDocument/2006/relationships/hyperlink" Target="https://www.booking.com/hotel/it/quisisana-capri.html?aid=304142&amp;label=gen173nr-1FCAEoggI46AdIM1gEaIsCiAEBmAExuAEHyAEM2AEB6AEB-AECiAIBqAIDuAKc5qPCBsACAdICJDk0NjhiMDAyLTUxNTYtNGVkMS1iMzNiLTEyNjQ5YzgyMmQ5ZNgCBeACAQ&amp;sid=91e2d0ea79d87936e43a9a54a56f11ca&amp;all_sr_blocks=57066201_205870764_0_1_0&amp;checkin=2025-08-30&amp;checkout=2025-09-02&amp;dist=0&amp;group_adults=2&amp;group_children=0&amp;hapos=1&amp;highlighted_blocks=57066201_205870764_0_1_0&amp;hpos=1&amp;matching_block_id=57066201_205870764_0_1_0&amp;no_rooms=1&amp;req_adults=2&amp;req_children=0&amp;room1=A%2CA&amp;sb_price_type=total&amp;sr_order=distance_from_search&amp;sr_pri_blocks=57066201_205870764_0_1_0__313636&amp;srepoch=1749611308&amp;srpvid=252c1611f3e00173&amp;type=total&amp;ucfs=1&amp;activeTab=main" TargetMode="External"/><Relationship Id="rId18" Type="http://schemas.openxmlformats.org/officeDocument/2006/relationships/hyperlink" Target="https://capriblueboats.booking.ondaplatform.com/en/booking/checkout/options?checkoutCode=453a5b6c-4ea8-43ef-90e4-e57efb9f5156"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chatgpt.com/c/6846f0da-7884-8009-ad13-dba01dfa021d" TargetMode="External"/><Relationship Id="rId190" Type="http://schemas.openxmlformats.org/officeDocument/2006/relationships/hyperlink" Target="https://chatgpt.com/c/6846f0da-7884-8009-ad13-dba01dfa021d" TargetMode="External"/><Relationship Id="rId42" Type="http://schemas.openxmlformats.org/officeDocument/2006/relationships/hyperlink" Target="https://chatgpt.com/c/6846f0da-7884-8009-ad13-dba01dfa021d" TargetMode="External"/><Relationship Id="rId41" Type="http://schemas.openxmlformats.org/officeDocument/2006/relationships/hyperlink" Target="https://chatgpt.com/c/6846f0da-7884-8009-ad13-dba01dfa021d" TargetMode="External"/><Relationship Id="rId44" Type="http://schemas.openxmlformats.org/officeDocument/2006/relationships/hyperlink" Target="https://manus.im/app/KJC6Ixn9ZFEgpriWR1GDzd" TargetMode="External"/><Relationship Id="rId194" Type="http://schemas.openxmlformats.org/officeDocument/2006/relationships/hyperlink" Target="https://manus.im/app/BW91CbS2mKciOf4E3b3a3o" TargetMode="External"/><Relationship Id="rId43" Type="http://schemas.openxmlformats.org/officeDocument/2006/relationships/hyperlink" Target="https://chatgpt.com/c/6846f0da-7884-8009-ad13-dba01dfa021d" TargetMode="External"/><Relationship Id="rId193" Type="http://schemas.openxmlformats.org/officeDocument/2006/relationships/hyperlink" Target="https://manus.im/app/BW91CbS2mKciOf4E3b3a3o" TargetMode="External"/><Relationship Id="rId46" Type="http://schemas.openxmlformats.org/officeDocument/2006/relationships/hyperlink" Target="https://manus.im/app/KJC6Ixn9ZFEgpriWR1GDzd" TargetMode="External"/><Relationship Id="rId192" Type="http://schemas.openxmlformats.org/officeDocument/2006/relationships/hyperlink" Target="https://chatgpt.com/c/6846f0da-7884-8009-ad13-dba01dfa021d" TargetMode="External"/><Relationship Id="rId45" Type="http://schemas.openxmlformats.org/officeDocument/2006/relationships/hyperlink" Target="https://manus.im/app/KJC6Ixn9ZFEgpriWR1GDzd" TargetMode="External"/><Relationship Id="rId191" Type="http://schemas.openxmlformats.org/officeDocument/2006/relationships/hyperlink" Target="https://chatgpt.com/c/6846f0da-7884-8009-ad13-dba01dfa021d" TargetMode="External"/><Relationship Id="rId48" Type="http://schemas.openxmlformats.org/officeDocument/2006/relationships/hyperlink" Target="https://manus.im/app/KJC6Ixn9ZFEgpriWR1GDzd" TargetMode="External"/><Relationship Id="rId187" Type="http://schemas.openxmlformats.org/officeDocument/2006/relationships/hyperlink" Target="https://chatgpt.com/c/6846f0da-7884-8009-ad13-dba01dfa021d" TargetMode="External"/><Relationship Id="rId47" Type="http://schemas.openxmlformats.org/officeDocument/2006/relationships/hyperlink" Target="https://manus.im/app/KJC6Ixn9ZFEgpriWR1GDzd" TargetMode="External"/><Relationship Id="rId186" Type="http://schemas.openxmlformats.org/officeDocument/2006/relationships/hyperlink" Target="https://chatgpt.com/c/6846f0da-7884-8009-ad13-dba01dfa021d" TargetMode="External"/><Relationship Id="rId185" Type="http://schemas.openxmlformats.org/officeDocument/2006/relationships/hyperlink" Target="https://chatgpt.com/c/6846f0da-7884-8009-ad13-dba01dfa021d" TargetMode="External"/><Relationship Id="rId49" Type="http://schemas.openxmlformats.org/officeDocument/2006/relationships/hyperlink" Target="https://manus.im/app/KJC6Ixn9ZFEgpriWR1GDzd" TargetMode="External"/><Relationship Id="rId184" Type="http://schemas.openxmlformats.org/officeDocument/2006/relationships/hyperlink" Target="https://chatgpt.com/c/6846f0da-7884-8009-ad13-dba01dfa021d" TargetMode="External"/><Relationship Id="rId189" Type="http://schemas.openxmlformats.org/officeDocument/2006/relationships/hyperlink" Target="https://chatgpt.com/c/6846f0da-7884-8009-ad13-dba01dfa021d" TargetMode="External"/><Relationship Id="rId188" Type="http://schemas.openxmlformats.org/officeDocument/2006/relationships/hyperlink" Target="https://chatgpt.com/c/6846f0da-7884-8009-ad13-dba01dfa021d" TargetMode="External"/><Relationship Id="rId31" Type="http://schemas.openxmlformats.org/officeDocument/2006/relationships/hyperlink" Target="https://chatgpt.com/c/6846f0da-7884-8009-ad13-dba01dfa021d" TargetMode="External"/><Relationship Id="rId30" Type="http://schemas.openxmlformats.org/officeDocument/2006/relationships/hyperlink" Target="https://chatgpt.com/c/6846f0da-7884-8009-ad13-dba01dfa021d" TargetMode="External"/><Relationship Id="rId33" Type="http://schemas.openxmlformats.org/officeDocument/2006/relationships/hyperlink" Target="https://chatgpt.com/c/6846f0da-7884-8009-ad13-dba01dfa021d" TargetMode="External"/><Relationship Id="rId183" Type="http://schemas.openxmlformats.org/officeDocument/2006/relationships/hyperlink" Target="https://chatgpt.com/c/6846f0da-7884-8009-ad13-dba01dfa021d" TargetMode="External"/><Relationship Id="rId32" Type="http://schemas.openxmlformats.org/officeDocument/2006/relationships/hyperlink" Target="https://chatgpt.com/c/6846f0da-7884-8009-ad13-dba01dfa021d" TargetMode="External"/><Relationship Id="rId182" Type="http://schemas.openxmlformats.org/officeDocument/2006/relationships/hyperlink" Target="https://chatgpt.com/c/6846f0da-7884-8009-ad13-dba01dfa021d" TargetMode="External"/><Relationship Id="rId35" Type="http://schemas.openxmlformats.org/officeDocument/2006/relationships/hyperlink" Target="https://chatgpt.com/c/6846f0da-7884-8009-ad13-dba01dfa021d" TargetMode="External"/><Relationship Id="rId181" Type="http://schemas.openxmlformats.org/officeDocument/2006/relationships/hyperlink" Target="https://chatgpt.com/c/6846f0da-7884-8009-ad13-dba01dfa021d" TargetMode="External"/><Relationship Id="rId34" Type="http://schemas.openxmlformats.org/officeDocument/2006/relationships/hyperlink" Target="https://chatgpt.com/c/6846f0da-7884-8009-ad13-dba01dfa021d" TargetMode="External"/><Relationship Id="rId180" Type="http://schemas.openxmlformats.org/officeDocument/2006/relationships/hyperlink" Target="https://chatgpt.com/c/6846f0da-7884-8009-ad13-dba01dfa021d" TargetMode="External"/><Relationship Id="rId37" Type="http://schemas.openxmlformats.org/officeDocument/2006/relationships/hyperlink" Target="https://chatgpt.com/c/6846f0da-7884-8009-ad13-dba01dfa021d" TargetMode="External"/><Relationship Id="rId176" Type="http://schemas.openxmlformats.org/officeDocument/2006/relationships/hyperlink" Target="https://chatgpt.com/c/6846f0da-7884-8009-ad13-dba01dfa021d" TargetMode="External"/><Relationship Id="rId36" Type="http://schemas.openxmlformats.org/officeDocument/2006/relationships/hyperlink" Target="https://chatgpt.com/c/6846f0da-7884-8009-ad13-dba01dfa021d" TargetMode="External"/><Relationship Id="rId175" Type="http://schemas.openxmlformats.org/officeDocument/2006/relationships/hyperlink" Target="https://chatgpt.com/c/6846f0da-7884-8009-ad13-dba01dfa021d" TargetMode="External"/><Relationship Id="rId39" Type="http://schemas.openxmlformats.org/officeDocument/2006/relationships/hyperlink" Target="https://chatgpt.com/c/6846f0da-7884-8009-ad13-dba01dfa021d" TargetMode="External"/><Relationship Id="rId174" Type="http://schemas.openxmlformats.org/officeDocument/2006/relationships/hyperlink" Target="https://chatgpt.com/c/6846f0da-7884-8009-ad13-dba01dfa021d" TargetMode="External"/><Relationship Id="rId38" Type="http://schemas.openxmlformats.org/officeDocument/2006/relationships/hyperlink" Target="https://chatgpt.com/c/6846f0da-7884-8009-ad13-dba01dfa021d" TargetMode="External"/><Relationship Id="rId173" Type="http://schemas.openxmlformats.org/officeDocument/2006/relationships/hyperlink" Target="https://chatgpt.com/c/6846f0da-7884-8009-ad13-dba01dfa021d" TargetMode="External"/><Relationship Id="rId179" Type="http://schemas.openxmlformats.org/officeDocument/2006/relationships/hyperlink" Target="https://chatgpt.com/c/6846f0da-7884-8009-ad13-dba01dfa021d" TargetMode="External"/><Relationship Id="rId178" Type="http://schemas.openxmlformats.org/officeDocument/2006/relationships/hyperlink" Target="https://chatgpt.com/c/6846f0da-7884-8009-ad13-dba01dfa021d" TargetMode="External"/><Relationship Id="rId177" Type="http://schemas.openxmlformats.org/officeDocument/2006/relationships/hyperlink" Target="https://chatgpt.com/c/6846f0da-7884-8009-ad13-dba01dfa021d" TargetMode="External"/><Relationship Id="rId20" Type="http://schemas.openxmlformats.org/officeDocument/2006/relationships/hyperlink" Target="https://chatgpt.com/c/6846f0da-7884-8009-ad13-dba01dfa021d" TargetMode="External"/><Relationship Id="rId22" Type="http://schemas.openxmlformats.org/officeDocument/2006/relationships/hyperlink" Target="https://chatgpt.com/c/6846f0da-7884-8009-ad13-dba01dfa021d" TargetMode="External"/><Relationship Id="rId21" Type="http://schemas.openxmlformats.org/officeDocument/2006/relationships/hyperlink" Target="https://www.fontelina-capri.com/en/index?utm_source=chatgpt.com" TargetMode="External"/><Relationship Id="rId24" Type="http://schemas.openxmlformats.org/officeDocument/2006/relationships/hyperlink" Target="https://chatgpt.com/c/6846f0da-7884-8009-ad13-dba01dfa021d" TargetMode="External"/><Relationship Id="rId23" Type="http://schemas.openxmlformats.org/officeDocument/2006/relationships/hyperlink" Target="https://chatgpt.com/c/6846f0da-7884-8009-ad13-dba01dfa021d" TargetMode="External"/><Relationship Id="rId26" Type="http://schemas.openxmlformats.org/officeDocument/2006/relationships/hyperlink" Target="https://chatgpt.com/c/6846f0da-7884-8009-ad13-dba01dfa021d" TargetMode="External"/><Relationship Id="rId25" Type="http://schemas.openxmlformats.org/officeDocument/2006/relationships/hyperlink" Target="https://chatgpt.com/c/6846f0da-7884-8009-ad13-dba01dfa021d" TargetMode="External"/><Relationship Id="rId28" Type="http://schemas.openxmlformats.org/officeDocument/2006/relationships/hyperlink" Target="https://chatgpt.com/c/6846f0da-7884-8009-ad13-dba01dfa021d" TargetMode="External"/><Relationship Id="rId27" Type="http://schemas.openxmlformats.org/officeDocument/2006/relationships/hyperlink" Target="https://chatgpt.com/c/6846f0da-7884-8009-ad13-dba01dfa021d" TargetMode="External"/><Relationship Id="rId29" Type="http://schemas.openxmlformats.org/officeDocument/2006/relationships/hyperlink" Target="https://chatgpt.com/c/6846f0da-7884-8009-ad13-dba01dfa021d" TargetMode="External"/><Relationship Id="rId11" Type="http://schemas.openxmlformats.org/officeDocument/2006/relationships/hyperlink" Target="https://www.google.com/maps/search/Villa%20Verde%2C%20Capri%2C%20Italy" TargetMode="External"/><Relationship Id="rId10" Type="http://schemas.openxmlformats.org/officeDocument/2006/relationships/hyperlink" Target="https://www.google.com/maps/search/Le%20Grottelle%2C%20Capri%2C%20Italy" TargetMode="External"/><Relationship Id="rId13" Type="http://schemas.openxmlformats.org/officeDocument/2006/relationships/hyperlink" Target="https://www.google.com/maps/search/Pescheria%20Le%20Botteghe%2C%20Capri%2C%20Italy" TargetMode="External"/><Relationship Id="rId12" Type="http://schemas.openxmlformats.org/officeDocument/2006/relationships/hyperlink" Target="https://www.google.com/maps/search/Lo%20Smeraldo%2C%20Capri%2C%20Italy" TargetMode="External"/><Relationship Id="rId15" Type="http://schemas.openxmlformats.org/officeDocument/2006/relationships/hyperlink" Target="https://www.google.com/maps/search/Ristorante%20Pulalli%2C%20Capri%2C%20Italy" TargetMode="External"/><Relationship Id="rId198" Type="http://schemas.openxmlformats.org/officeDocument/2006/relationships/hyperlink" Target="https://manus.im/app/BW91CbS2mKciOf4E3b3a3o" TargetMode="External"/><Relationship Id="rId14" Type="http://schemas.openxmlformats.org/officeDocument/2006/relationships/hyperlink" Target="https://www.google.com/maps/search/Lo%20Sfizio%2C%20Capri%2C%20Italy" TargetMode="External"/><Relationship Id="rId197" Type="http://schemas.openxmlformats.org/officeDocument/2006/relationships/hyperlink" Target="https://manus.im/app/BW91CbS2mKciOf4E3b3a3o" TargetMode="External"/><Relationship Id="rId17" Type="http://schemas.openxmlformats.org/officeDocument/2006/relationships/hyperlink" Target="https://www.google.com/maps/search/Ziq%C3%B9%20Restaurant%2C%20Capri%2C%20Italy" TargetMode="External"/><Relationship Id="rId196" Type="http://schemas.openxmlformats.org/officeDocument/2006/relationships/hyperlink" Target="https://manus.im/app/BW91CbS2mKciOf4E3b3a3o" TargetMode="External"/><Relationship Id="rId16" Type="http://schemas.openxmlformats.org/officeDocument/2006/relationships/hyperlink" Target="https://www.google.com/maps/search/Gennaro%20Amitrano%2C%20Capri%2C%20Italy" TargetMode="External"/><Relationship Id="rId195" Type="http://schemas.openxmlformats.org/officeDocument/2006/relationships/hyperlink" Target="https://manus.im/app/BW91CbS2mKciOf4E3b3a3o" TargetMode="External"/><Relationship Id="rId19" Type="http://schemas.openxmlformats.org/officeDocument/2006/relationships/hyperlink" Target="https://chatgpt.com/c/6846f0da-7884-8009-ad13-dba01dfa021d" TargetMode="External"/><Relationship Id="rId18" Type="http://schemas.openxmlformats.org/officeDocument/2006/relationships/hyperlink" Target="https://www.google.com/maps/search/Da%20Tonino%2C%20Capri%2C%20Italy" TargetMode="External"/><Relationship Id="rId199" Type="http://schemas.openxmlformats.org/officeDocument/2006/relationships/hyperlink" Target="https://manus.im/app/BW91CbS2mKciOf4E3b3a3o" TargetMode="External"/><Relationship Id="rId84" Type="http://schemas.openxmlformats.org/officeDocument/2006/relationships/hyperlink" Target="https://manus.im/app/KJC6Ixn9ZFEgpriWR1GDzd" TargetMode="External"/><Relationship Id="rId83" Type="http://schemas.openxmlformats.org/officeDocument/2006/relationships/hyperlink" Target="https://manus.im/app/KJC6Ixn9ZFEgpriWR1GDzd" TargetMode="External"/><Relationship Id="rId86" Type="http://schemas.openxmlformats.org/officeDocument/2006/relationships/hyperlink" Target="https://manus.im/app/KJC6Ixn9ZFEgpriWR1GDzd" TargetMode="External"/><Relationship Id="rId85" Type="http://schemas.openxmlformats.org/officeDocument/2006/relationships/hyperlink" Target="https://manus.im/app/KJC6Ixn9ZFEgpriWR1GDzd" TargetMode="External"/><Relationship Id="rId88" Type="http://schemas.openxmlformats.org/officeDocument/2006/relationships/hyperlink" Target="https://manus.im/app/KJC6Ixn9ZFEgpriWR1GDzd" TargetMode="External"/><Relationship Id="rId150" Type="http://schemas.openxmlformats.org/officeDocument/2006/relationships/hyperlink" Target="https://chatgpt.com/c/6846f0da-7884-8009-ad13-dba01dfa021d" TargetMode="External"/><Relationship Id="rId87" Type="http://schemas.openxmlformats.org/officeDocument/2006/relationships/hyperlink" Target="https://manus.im/app/KJC6Ixn9ZFEgpriWR1GDzd" TargetMode="External"/><Relationship Id="rId89" Type="http://schemas.openxmlformats.org/officeDocument/2006/relationships/hyperlink" Target="https://manus.im/app/KJC6Ixn9ZFEgpriWR1GDzd" TargetMode="External"/><Relationship Id="rId80" Type="http://schemas.openxmlformats.org/officeDocument/2006/relationships/hyperlink" Target="https://manus.im/app/KJC6Ixn9ZFEgpriWR1GDzd" TargetMode="External"/><Relationship Id="rId82" Type="http://schemas.openxmlformats.org/officeDocument/2006/relationships/hyperlink" Target="https://manus.im/app/KJC6Ixn9ZFEgpriWR1GDzd" TargetMode="External"/><Relationship Id="rId81" Type="http://schemas.openxmlformats.org/officeDocument/2006/relationships/hyperlink" Target="https://manus.im/app/KJC6Ixn9ZFEgpriWR1GDzd" TargetMode="External"/><Relationship Id="rId1" Type="http://schemas.openxmlformats.org/officeDocument/2006/relationships/hyperlink" Target="https://www.google.com/maps/search/Buonocore%20Gelateria%20%26%20Bakery%2C%20Capri%2C%20Italy" TargetMode="External"/><Relationship Id="rId2" Type="http://schemas.openxmlformats.org/officeDocument/2006/relationships/hyperlink" Target="https://www.google.com/maps/search/Ristorante%20Lo%20Sfizio%2C%20Capri%2C%20Italy" TargetMode="External"/><Relationship Id="rId3" Type="http://schemas.openxmlformats.org/officeDocument/2006/relationships/hyperlink" Target="https://www.google.com/maps/search/Caff%C3%A8%20Caso%2C%20Capri%2C%20Italy" TargetMode="External"/><Relationship Id="rId149" Type="http://schemas.openxmlformats.org/officeDocument/2006/relationships/hyperlink" Target="https://chatgpt.com/c/6846f0da-7884-8009-ad13-dba01dfa021d" TargetMode="External"/><Relationship Id="rId4" Type="http://schemas.openxmlformats.org/officeDocument/2006/relationships/hyperlink" Target="https://www.google.com/maps/search/Panificio%20Fornaretto%2C%20Capri%2C%20Italy" TargetMode="External"/><Relationship Id="rId148" Type="http://schemas.openxmlformats.org/officeDocument/2006/relationships/hyperlink" Target="https://chatgpt.com/c/6846f0da-7884-8009-ad13-dba01dfa021d" TargetMode="External"/><Relationship Id="rId9" Type="http://schemas.openxmlformats.org/officeDocument/2006/relationships/hyperlink" Target="https://www.google.com/maps/search/Da%20Gemma%2C%20Capri%2C%20Italy" TargetMode="External"/><Relationship Id="rId143" Type="http://schemas.openxmlformats.org/officeDocument/2006/relationships/hyperlink" Target="https://chatgpt.com/c/6846f0da-7884-8009-ad13-dba01dfa021d" TargetMode="External"/><Relationship Id="rId142" Type="http://schemas.openxmlformats.org/officeDocument/2006/relationships/hyperlink" Target="https://chatgpt.com/c/6846f0da-7884-8009-ad13-dba01dfa021d" TargetMode="External"/><Relationship Id="rId141" Type="http://schemas.openxmlformats.org/officeDocument/2006/relationships/hyperlink" Target="https://chatgpt.com/c/6846f0da-7884-8009-ad13-dba01dfa021d" TargetMode="External"/><Relationship Id="rId140" Type="http://schemas.openxmlformats.org/officeDocument/2006/relationships/hyperlink" Target="https://chatgpt.com/c/6846f0da-7884-8009-ad13-dba01dfa021d" TargetMode="External"/><Relationship Id="rId5" Type="http://schemas.openxmlformats.org/officeDocument/2006/relationships/hyperlink" Target="https://www.google.com/maps/search/Enoteca%20Truglio%2C%20Capri%2C%20Italy" TargetMode="External"/><Relationship Id="rId147" Type="http://schemas.openxmlformats.org/officeDocument/2006/relationships/hyperlink" Target="https://chatgpt.com/c/6846f0da-7884-8009-ad13-dba01dfa021d" TargetMode="External"/><Relationship Id="rId6" Type="http://schemas.openxmlformats.org/officeDocument/2006/relationships/hyperlink" Target="https://www.google.com/maps/search/Enoteca%20La%20Vineria%2C%20Capri%2C%20Italy" TargetMode="External"/><Relationship Id="rId146" Type="http://schemas.openxmlformats.org/officeDocument/2006/relationships/hyperlink" Target="https://chatgpt.com/c/6846f0da-7884-8009-ad13-dba01dfa021d" TargetMode="External"/><Relationship Id="rId7" Type="http://schemas.openxmlformats.org/officeDocument/2006/relationships/hyperlink" Target="https://www.google.com/maps/search/Da%20Giorgio%2C%20Capri%2C%20Italy" TargetMode="External"/><Relationship Id="rId145" Type="http://schemas.openxmlformats.org/officeDocument/2006/relationships/hyperlink" Target="https://chatgpt.com/c/6846f0da-7884-8009-ad13-dba01dfa021d" TargetMode="External"/><Relationship Id="rId8" Type="http://schemas.openxmlformats.org/officeDocument/2006/relationships/hyperlink" Target="https://www.google.com/maps/search/Aurora%2C%20Capri%2C%20Italy" TargetMode="External"/><Relationship Id="rId144" Type="http://schemas.openxmlformats.org/officeDocument/2006/relationships/hyperlink" Target="https://chatgpt.com/c/6846f0da-7884-8009-ad13-dba01dfa021d" TargetMode="External"/><Relationship Id="rId73" Type="http://schemas.openxmlformats.org/officeDocument/2006/relationships/hyperlink" Target="https://manus.im/app/KJC6Ixn9ZFEgpriWR1GDzd" TargetMode="External"/><Relationship Id="rId72" Type="http://schemas.openxmlformats.org/officeDocument/2006/relationships/hyperlink" Target="https://manus.im/app/KJC6Ixn9ZFEgpriWR1GDzd" TargetMode="External"/><Relationship Id="rId75" Type="http://schemas.openxmlformats.org/officeDocument/2006/relationships/hyperlink" Target="https://manus.im/app/KJC6Ixn9ZFEgpriWR1GDzd" TargetMode="External"/><Relationship Id="rId74" Type="http://schemas.openxmlformats.org/officeDocument/2006/relationships/hyperlink" Target="https://manus.im/app/KJC6Ixn9ZFEgpriWR1GDzd" TargetMode="External"/><Relationship Id="rId77" Type="http://schemas.openxmlformats.org/officeDocument/2006/relationships/hyperlink" Target="https://manus.im/app/KJC6Ixn9ZFEgpriWR1GDzd" TargetMode="External"/><Relationship Id="rId76" Type="http://schemas.openxmlformats.org/officeDocument/2006/relationships/hyperlink" Target="https://manus.im/app/KJC6Ixn9ZFEgpriWR1GDzd" TargetMode="External"/><Relationship Id="rId79" Type="http://schemas.openxmlformats.org/officeDocument/2006/relationships/hyperlink" Target="https://manus.im/app/KJC6Ixn9ZFEgpriWR1GDzd" TargetMode="External"/><Relationship Id="rId78" Type="http://schemas.openxmlformats.org/officeDocument/2006/relationships/hyperlink" Target="https://manus.im/app/KJC6Ixn9ZFEgpriWR1GDzd" TargetMode="External"/><Relationship Id="rId71" Type="http://schemas.openxmlformats.org/officeDocument/2006/relationships/hyperlink" Target="https://manus.im/app/KJC6Ixn9ZFEgpriWR1GDzd" TargetMode="External"/><Relationship Id="rId70" Type="http://schemas.openxmlformats.org/officeDocument/2006/relationships/hyperlink" Target="https://manus.im/app/KJC6Ixn9ZFEgpriWR1GDzd" TargetMode="External"/><Relationship Id="rId139" Type="http://schemas.openxmlformats.org/officeDocument/2006/relationships/hyperlink" Target="https://chatgpt.com/c/6846f0da-7884-8009-ad13-dba01dfa021d" TargetMode="External"/><Relationship Id="rId138" Type="http://schemas.openxmlformats.org/officeDocument/2006/relationships/hyperlink" Target="https://chatgpt.com/c/6846f0da-7884-8009-ad13-dba01dfa021d" TargetMode="External"/><Relationship Id="rId137" Type="http://schemas.openxmlformats.org/officeDocument/2006/relationships/hyperlink" Target="https://chatgpt.com/c/6846f0da-7884-8009-ad13-dba01dfa021d" TargetMode="External"/><Relationship Id="rId132" Type="http://schemas.openxmlformats.org/officeDocument/2006/relationships/hyperlink" Target="https://chatgpt.com/c/6846f0da-7884-8009-ad13-dba01dfa021d" TargetMode="External"/><Relationship Id="rId131" Type="http://schemas.openxmlformats.org/officeDocument/2006/relationships/hyperlink" Target="https://chatgpt.com/c/6846f0da-7884-8009-ad13-dba01dfa021d" TargetMode="External"/><Relationship Id="rId130" Type="http://schemas.openxmlformats.org/officeDocument/2006/relationships/hyperlink" Target="https://chatgpt.com/c/6846f0da-7884-8009-ad13-dba01dfa021d" TargetMode="External"/><Relationship Id="rId136" Type="http://schemas.openxmlformats.org/officeDocument/2006/relationships/hyperlink" Target="https://chatgpt.com/c/6846f0da-7884-8009-ad13-dba01dfa021d" TargetMode="External"/><Relationship Id="rId135" Type="http://schemas.openxmlformats.org/officeDocument/2006/relationships/hyperlink" Target="https://chatgpt.com/c/6846f0da-7884-8009-ad13-dba01dfa021d" TargetMode="External"/><Relationship Id="rId134" Type="http://schemas.openxmlformats.org/officeDocument/2006/relationships/hyperlink" Target="https://chatgpt.com/c/6846f0da-7884-8009-ad13-dba01dfa021d" TargetMode="External"/><Relationship Id="rId133" Type="http://schemas.openxmlformats.org/officeDocument/2006/relationships/hyperlink" Target="https://chatgpt.com/c/6846f0da-7884-8009-ad13-dba01dfa021d" TargetMode="External"/><Relationship Id="rId62" Type="http://schemas.openxmlformats.org/officeDocument/2006/relationships/hyperlink" Target="https://manus.im/app/KJC6Ixn9ZFEgpriWR1GDzd" TargetMode="External"/><Relationship Id="rId61" Type="http://schemas.openxmlformats.org/officeDocument/2006/relationships/hyperlink" Target="https://manus.im/app/KJC6Ixn9ZFEgpriWR1GDzd" TargetMode="External"/><Relationship Id="rId64" Type="http://schemas.openxmlformats.org/officeDocument/2006/relationships/hyperlink" Target="https://manus.im/app/KJC6Ixn9ZFEgpriWR1GDzd" TargetMode="External"/><Relationship Id="rId63" Type="http://schemas.openxmlformats.org/officeDocument/2006/relationships/hyperlink" Target="https://manus.im/app/KJC6Ixn9ZFEgpriWR1GDzd" TargetMode="External"/><Relationship Id="rId66" Type="http://schemas.openxmlformats.org/officeDocument/2006/relationships/hyperlink" Target="https://manus.im/app/KJC6Ixn9ZFEgpriWR1GDzd" TargetMode="External"/><Relationship Id="rId172" Type="http://schemas.openxmlformats.org/officeDocument/2006/relationships/hyperlink" Target="https://chatgpt.com/c/6846f0da-7884-8009-ad13-dba01dfa021d" TargetMode="External"/><Relationship Id="rId65" Type="http://schemas.openxmlformats.org/officeDocument/2006/relationships/hyperlink" Target="https://manus.im/app/KJC6Ixn9ZFEgpriWR1GDzd" TargetMode="External"/><Relationship Id="rId171" Type="http://schemas.openxmlformats.org/officeDocument/2006/relationships/hyperlink" Target="https://chatgpt.com/c/6846f0da-7884-8009-ad13-dba01dfa021d" TargetMode="External"/><Relationship Id="rId68" Type="http://schemas.openxmlformats.org/officeDocument/2006/relationships/hyperlink" Target="https://manus.im/app/KJC6Ixn9ZFEgpriWR1GDzd" TargetMode="External"/><Relationship Id="rId170" Type="http://schemas.openxmlformats.org/officeDocument/2006/relationships/hyperlink" Target="https://chatgpt.com/c/6846f0da-7884-8009-ad13-dba01dfa021d" TargetMode="External"/><Relationship Id="rId67" Type="http://schemas.openxmlformats.org/officeDocument/2006/relationships/hyperlink" Target="https://manus.im/app/KJC6Ixn9ZFEgpriWR1GDzd" TargetMode="External"/><Relationship Id="rId60" Type="http://schemas.openxmlformats.org/officeDocument/2006/relationships/hyperlink" Target="https://manus.im/app/KJC6Ixn9ZFEgpriWR1GDzd" TargetMode="External"/><Relationship Id="rId165" Type="http://schemas.openxmlformats.org/officeDocument/2006/relationships/hyperlink" Target="https://chatgpt.com/c/6846f0da-7884-8009-ad13-dba01dfa021d" TargetMode="External"/><Relationship Id="rId69" Type="http://schemas.openxmlformats.org/officeDocument/2006/relationships/hyperlink" Target="https://manus.im/app/KJC6Ixn9ZFEgpriWR1GDzd" TargetMode="External"/><Relationship Id="rId164" Type="http://schemas.openxmlformats.org/officeDocument/2006/relationships/hyperlink" Target="https://chatgpt.com/c/6846f0da-7884-8009-ad13-dba01dfa021d" TargetMode="External"/><Relationship Id="rId163" Type="http://schemas.openxmlformats.org/officeDocument/2006/relationships/hyperlink" Target="https://chatgpt.com/c/6846f0da-7884-8009-ad13-dba01dfa021d" TargetMode="External"/><Relationship Id="rId162" Type="http://schemas.openxmlformats.org/officeDocument/2006/relationships/hyperlink" Target="https://chatgpt.com/c/6846f0da-7884-8009-ad13-dba01dfa021d" TargetMode="External"/><Relationship Id="rId169" Type="http://schemas.openxmlformats.org/officeDocument/2006/relationships/hyperlink" Target="https://chatgpt.com/c/6846f0da-7884-8009-ad13-dba01dfa021d" TargetMode="External"/><Relationship Id="rId168" Type="http://schemas.openxmlformats.org/officeDocument/2006/relationships/hyperlink" Target="https://chatgpt.com/c/6846f0da-7884-8009-ad13-dba01dfa021d" TargetMode="External"/><Relationship Id="rId167" Type="http://schemas.openxmlformats.org/officeDocument/2006/relationships/hyperlink" Target="https://chatgpt.com/c/6846f0da-7884-8009-ad13-dba01dfa021d" TargetMode="External"/><Relationship Id="rId166" Type="http://schemas.openxmlformats.org/officeDocument/2006/relationships/hyperlink" Target="https://chatgpt.com/c/6846f0da-7884-8009-ad13-dba01dfa021d" TargetMode="External"/><Relationship Id="rId51" Type="http://schemas.openxmlformats.org/officeDocument/2006/relationships/hyperlink" Target="https://manus.im/app/KJC6Ixn9ZFEgpriWR1GDzd" TargetMode="External"/><Relationship Id="rId50" Type="http://schemas.openxmlformats.org/officeDocument/2006/relationships/hyperlink" Target="https://manus.im/app/KJC6Ixn9ZFEgpriWR1GDzd" TargetMode="External"/><Relationship Id="rId53" Type="http://schemas.openxmlformats.org/officeDocument/2006/relationships/hyperlink" Target="https://manus.im/app/KJC6Ixn9ZFEgpriWR1GDzd" TargetMode="External"/><Relationship Id="rId52" Type="http://schemas.openxmlformats.org/officeDocument/2006/relationships/hyperlink" Target="https://manus.im/app/KJC6Ixn9ZFEgpriWR1GDzd" TargetMode="External"/><Relationship Id="rId55" Type="http://schemas.openxmlformats.org/officeDocument/2006/relationships/hyperlink" Target="https://manus.im/app/KJC6Ixn9ZFEgpriWR1GDzd" TargetMode="External"/><Relationship Id="rId161" Type="http://schemas.openxmlformats.org/officeDocument/2006/relationships/hyperlink" Target="https://chatgpt.com/c/6846f0da-7884-8009-ad13-dba01dfa021d" TargetMode="External"/><Relationship Id="rId54" Type="http://schemas.openxmlformats.org/officeDocument/2006/relationships/hyperlink" Target="https://manus.im/app/KJC6Ixn9ZFEgpriWR1GDzd" TargetMode="External"/><Relationship Id="rId160" Type="http://schemas.openxmlformats.org/officeDocument/2006/relationships/hyperlink" Target="https://chatgpt.com/c/6846f0da-7884-8009-ad13-dba01dfa021d" TargetMode="External"/><Relationship Id="rId57" Type="http://schemas.openxmlformats.org/officeDocument/2006/relationships/hyperlink" Target="https://manus.im/app/KJC6Ixn9ZFEgpriWR1GDzd" TargetMode="External"/><Relationship Id="rId56" Type="http://schemas.openxmlformats.org/officeDocument/2006/relationships/hyperlink" Target="https://manus.im/app/KJC6Ixn9ZFEgpriWR1GDzd" TargetMode="External"/><Relationship Id="rId159" Type="http://schemas.openxmlformats.org/officeDocument/2006/relationships/hyperlink" Target="https://chatgpt.com/c/6846f0da-7884-8009-ad13-dba01dfa021d" TargetMode="External"/><Relationship Id="rId59" Type="http://schemas.openxmlformats.org/officeDocument/2006/relationships/hyperlink" Target="https://manus.im/app/KJC6Ixn9ZFEgpriWR1GDzd" TargetMode="External"/><Relationship Id="rId154" Type="http://schemas.openxmlformats.org/officeDocument/2006/relationships/hyperlink" Target="https://chatgpt.com/c/6846f0da-7884-8009-ad13-dba01dfa021d" TargetMode="External"/><Relationship Id="rId58" Type="http://schemas.openxmlformats.org/officeDocument/2006/relationships/hyperlink" Target="https://manus.im/app/KJC6Ixn9ZFEgpriWR1GDzd" TargetMode="External"/><Relationship Id="rId153" Type="http://schemas.openxmlformats.org/officeDocument/2006/relationships/hyperlink" Target="https://chatgpt.com/c/6846f0da-7884-8009-ad13-dba01dfa021d" TargetMode="External"/><Relationship Id="rId152" Type="http://schemas.openxmlformats.org/officeDocument/2006/relationships/hyperlink" Target="https://chatgpt.com/c/6846f0da-7884-8009-ad13-dba01dfa021d" TargetMode="External"/><Relationship Id="rId151" Type="http://schemas.openxmlformats.org/officeDocument/2006/relationships/hyperlink" Target="https://chatgpt.com/c/6846f0da-7884-8009-ad13-dba01dfa021d" TargetMode="External"/><Relationship Id="rId158" Type="http://schemas.openxmlformats.org/officeDocument/2006/relationships/hyperlink" Target="https://chatgpt.com/c/6846f0da-7884-8009-ad13-dba01dfa021d" TargetMode="External"/><Relationship Id="rId157" Type="http://schemas.openxmlformats.org/officeDocument/2006/relationships/hyperlink" Target="https://chatgpt.com/c/6846f0da-7884-8009-ad13-dba01dfa021d" TargetMode="External"/><Relationship Id="rId156" Type="http://schemas.openxmlformats.org/officeDocument/2006/relationships/hyperlink" Target="https://chatgpt.com/c/6846f0da-7884-8009-ad13-dba01dfa021d" TargetMode="External"/><Relationship Id="rId155" Type="http://schemas.openxmlformats.org/officeDocument/2006/relationships/hyperlink" Target="https://chatgpt.com/c/6846f0da-7884-8009-ad13-dba01dfa021d" TargetMode="External"/><Relationship Id="rId107" Type="http://schemas.openxmlformats.org/officeDocument/2006/relationships/hyperlink" Target="https://manus.im/app/KJC6Ixn9ZFEgpriWR1GDzd" TargetMode="External"/><Relationship Id="rId228" Type="http://schemas.openxmlformats.org/officeDocument/2006/relationships/hyperlink" Target="https://chatgpt.com/c/689a98ce-c260-832f-906c-7fa23be6b155" TargetMode="External"/><Relationship Id="rId106" Type="http://schemas.openxmlformats.org/officeDocument/2006/relationships/hyperlink" Target="https://manus.im/app/KJC6Ixn9ZFEgpriWR1GDzd" TargetMode="External"/><Relationship Id="rId227" Type="http://schemas.openxmlformats.org/officeDocument/2006/relationships/hyperlink" Target="https://chatgpt.com/c/689a98ce-c260-832f-906c-7fa23be6b155" TargetMode="External"/><Relationship Id="rId105" Type="http://schemas.openxmlformats.org/officeDocument/2006/relationships/hyperlink" Target="https://manus.im/app/KJC6Ixn9ZFEgpriWR1GDzd" TargetMode="External"/><Relationship Id="rId226" Type="http://schemas.openxmlformats.org/officeDocument/2006/relationships/hyperlink" Target="https://chatgpt.com/c/6846f0da-7884-8009-ad13-dba01dfa021d" TargetMode="External"/><Relationship Id="rId104" Type="http://schemas.openxmlformats.org/officeDocument/2006/relationships/hyperlink" Target="https://manus.im/app/KJC6Ixn9ZFEgpriWR1GDzd" TargetMode="External"/><Relationship Id="rId225" Type="http://schemas.openxmlformats.org/officeDocument/2006/relationships/hyperlink" Target="https://chatgpt.com/s/t_686efd6a5ecc8191b16825df7c36ebfb" TargetMode="External"/><Relationship Id="rId109" Type="http://schemas.openxmlformats.org/officeDocument/2006/relationships/hyperlink" Target="https://manus.im/app/KJC6Ixn9ZFEgpriWR1GDzd" TargetMode="External"/><Relationship Id="rId108" Type="http://schemas.openxmlformats.org/officeDocument/2006/relationships/hyperlink" Target="https://manus.im/app/KJC6Ixn9ZFEgpriWR1GDzd" TargetMode="External"/><Relationship Id="rId229" Type="http://schemas.openxmlformats.org/officeDocument/2006/relationships/hyperlink" Target="https://chatgpt.com/c/689a98ce-c260-832f-906c-7fa23be6b155" TargetMode="External"/><Relationship Id="rId220" Type="http://schemas.openxmlformats.org/officeDocument/2006/relationships/hyperlink" Target="https://chatgpt.com/s/t_686efd6a5ecc8191b16825df7c36ebfb" TargetMode="External"/><Relationship Id="rId103" Type="http://schemas.openxmlformats.org/officeDocument/2006/relationships/hyperlink" Target="https://manus.im/app/KJC6Ixn9ZFEgpriWR1GDzd" TargetMode="External"/><Relationship Id="rId224" Type="http://schemas.openxmlformats.org/officeDocument/2006/relationships/hyperlink" Target="https://chatgpt.com/s/t_686efd6a5ecc8191b16825df7c36ebfb" TargetMode="External"/><Relationship Id="rId102" Type="http://schemas.openxmlformats.org/officeDocument/2006/relationships/hyperlink" Target="https://manus.im/app/KJC6Ixn9ZFEgpriWR1GDzd" TargetMode="External"/><Relationship Id="rId223" Type="http://schemas.openxmlformats.org/officeDocument/2006/relationships/hyperlink" Target="https://chatgpt.com/s/t_686efd6a5ecc8191b16825df7c36ebfb" TargetMode="External"/><Relationship Id="rId101" Type="http://schemas.openxmlformats.org/officeDocument/2006/relationships/hyperlink" Target="https://manus.im/app/KJC6Ixn9ZFEgpriWR1GDzd" TargetMode="External"/><Relationship Id="rId222" Type="http://schemas.openxmlformats.org/officeDocument/2006/relationships/hyperlink" Target="https://chatgpt.com/s/t_686efd6a5ecc8191b16825df7c36ebfb" TargetMode="External"/><Relationship Id="rId100" Type="http://schemas.openxmlformats.org/officeDocument/2006/relationships/hyperlink" Target="https://manus.im/app/KJC6Ixn9ZFEgpriWR1GDzd" TargetMode="External"/><Relationship Id="rId221" Type="http://schemas.openxmlformats.org/officeDocument/2006/relationships/hyperlink" Target="https://chatgpt.com/s/t_686efd6a5ecc8191b16825df7c36ebfb" TargetMode="External"/><Relationship Id="rId217" Type="http://schemas.openxmlformats.org/officeDocument/2006/relationships/hyperlink" Target="https://chatgpt.com/s/t_686efd6a5ecc8191b16825df7c36ebfb" TargetMode="External"/><Relationship Id="rId216" Type="http://schemas.openxmlformats.org/officeDocument/2006/relationships/hyperlink" Target="https://chatgpt.com/s/t_686efd6a5ecc8191b16825df7c36ebfb" TargetMode="External"/><Relationship Id="rId215" Type="http://schemas.openxmlformats.org/officeDocument/2006/relationships/hyperlink" Target="https://chatgpt.com/c/6846f0da-7884-8009-ad13-dba01dfa021d" TargetMode="External"/><Relationship Id="rId214" Type="http://schemas.openxmlformats.org/officeDocument/2006/relationships/hyperlink" Target="https://chatgpt.com/c/6846f0da-7884-8009-ad13-dba01dfa021d" TargetMode="External"/><Relationship Id="rId219" Type="http://schemas.openxmlformats.org/officeDocument/2006/relationships/hyperlink" Target="https://chatgpt.com/s/t_686efd6a5ecc8191b16825df7c36ebfb" TargetMode="External"/><Relationship Id="rId218" Type="http://schemas.openxmlformats.org/officeDocument/2006/relationships/hyperlink" Target="https://chatgpt.com/s/t_686efd6a5ecc8191b16825df7c36ebfb" TargetMode="External"/><Relationship Id="rId213" Type="http://schemas.openxmlformats.org/officeDocument/2006/relationships/hyperlink" Target="https://chatgpt.com/c/6846f0da-7884-8009-ad13-dba01dfa021d" TargetMode="External"/><Relationship Id="rId212" Type="http://schemas.openxmlformats.org/officeDocument/2006/relationships/hyperlink" Target="https://chatgpt.com/c/6846f0da-7884-8009-ad13-dba01dfa021d" TargetMode="External"/><Relationship Id="rId211" Type="http://schemas.openxmlformats.org/officeDocument/2006/relationships/hyperlink" Target="https://chatgpt.com/c/6846f0da-7884-8009-ad13-dba01dfa021d" TargetMode="External"/><Relationship Id="rId210" Type="http://schemas.openxmlformats.org/officeDocument/2006/relationships/hyperlink" Target="https://manus.im/app/BW91CbS2mKciOf4E3b3a3o" TargetMode="External"/><Relationship Id="rId129" Type="http://schemas.openxmlformats.org/officeDocument/2006/relationships/hyperlink" Target="https://chatgpt.com/c/6846f0da-7884-8009-ad13-dba01dfa021d" TargetMode="External"/><Relationship Id="rId128" Type="http://schemas.openxmlformats.org/officeDocument/2006/relationships/hyperlink" Target="https://chatgpt.com/c/6846f0da-7884-8009-ad13-dba01dfa021d" TargetMode="External"/><Relationship Id="rId127" Type="http://schemas.openxmlformats.org/officeDocument/2006/relationships/hyperlink" Target="https://chatgpt.com/c/6846f0da-7884-8009-ad13-dba01dfa021d" TargetMode="External"/><Relationship Id="rId126" Type="http://schemas.openxmlformats.org/officeDocument/2006/relationships/hyperlink" Target="https://chatgpt.com/c/6846f0da-7884-8009-ad13-dba01dfa021d" TargetMode="External"/><Relationship Id="rId121" Type="http://schemas.openxmlformats.org/officeDocument/2006/relationships/hyperlink" Target="https://chatgpt.com/c/6846f0da-7884-8009-ad13-dba01dfa021d" TargetMode="External"/><Relationship Id="rId120" Type="http://schemas.openxmlformats.org/officeDocument/2006/relationships/hyperlink" Target="https://chatgpt.com/c/6846f0da-7884-8009-ad13-dba01dfa021d" TargetMode="External"/><Relationship Id="rId125" Type="http://schemas.openxmlformats.org/officeDocument/2006/relationships/hyperlink" Target="https://chatgpt.com/c/6846f0da-7884-8009-ad13-dba01dfa021d" TargetMode="External"/><Relationship Id="rId124" Type="http://schemas.openxmlformats.org/officeDocument/2006/relationships/hyperlink" Target="https://chatgpt.com/c/6846f0da-7884-8009-ad13-dba01dfa021d" TargetMode="External"/><Relationship Id="rId123" Type="http://schemas.openxmlformats.org/officeDocument/2006/relationships/hyperlink" Target="https://chatgpt.com/c/6846f0da-7884-8009-ad13-dba01dfa021d" TargetMode="External"/><Relationship Id="rId122" Type="http://schemas.openxmlformats.org/officeDocument/2006/relationships/hyperlink" Target="https://chatgpt.com/c/6846f0da-7884-8009-ad13-dba01dfa021d" TargetMode="External"/><Relationship Id="rId95" Type="http://schemas.openxmlformats.org/officeDocument/2006/relationships/hyperlink" Target="https://manus.im/app/KJC6Ixn9ZFEgpriWR1GDzd" TargetMode="External"/><Relationship Id="rId94" Type="http://schemas.openxmlformats.org/officeDocument/2006/relationships/hyperlink" Target="https://manus.im/app/KJC6Ixn9ZFEgpriWR1GDzd" TargetMode="External"/><Relationship Id="rId97" Type="http://schemas.openxmlformats.org/officeDocument/2006/relationships/hyperlink" Target="https://manus.im/app/KJC6Ixn9ZFEgpriWR1GDzd" TargetMode="External"/><Relationship Id="rId96" Type="http://schemas.openxmlformats.org/officeDocument/2006/relationships/hyperlink" Target="https://manus.im/app/KJC6Ixn9ZFEgpriWR1GDzd" TargetMode="External"/><Relationship Id="rId99" Type="http://schemas.openxmlformats.org/officeDocument/2006/relationships/hyperlink" Target="https://manus.im/app/KJC6Ixn9ZFEgpriWR1GDzd" TargetMode="External"/><Relationship Id="rId98" Type="http://schemas.openxmlformats.org/officeDocument/2006/relationships/hyperlink" Target="https://manus.im/app/KJC6Ixn9ZFEgpriWR1GDzd" TargetMode="External"/><Relationship Id="rId91" Type="http://schemas.openxmlformats.org/officeDocument/2006/relationships/hyperlink" Target="https://manus.im/app/KJC6Ixn9ZFEgpriWR1GDzd" TargetMode="External"/><Relationship Id="rId90" Type="http://schemas.openxmlformats.org/officeDocument/2006/relationships/hyperlink" Target="https://manus.im/app/KJC6Ixn9ZFEgpriWR1GDzd" TargetMode="External"/><Relationship Id="rId93" Type="http://schemas.openxmlformats.org/officeDocument/2006/relationships/hyperlink" Target="https://manus.im/app/KJC6Ixn9ZFEgpriWR1GDzd" TargetMode="External"/><Relationship Id="rId92" Type="http://schemas.openxmlformats.org/officeDocument/2006/relationships/hyperlink" Target="https://manus.im/app/KJC6Ixn9ZFEgpriWR1GDzd" TargetMode="External"/><Relationship Id="rId118" Type="http://schemas.openxmlformats.org/officeDocument/2006/relationships/hyperlink" Target="https://www.youtube.com/watch?v=Mupom-sgjAU&amp;list=TLGGuW2Fx0IJe4YxMDA2MjAyNQ" TargetMode="External"/><Relationship Id="rId117" Type="http://schemas.openxmlformats.org/officeDocument/2006/relationships/hyperlink" Target="https://www.youtube.com/watch?v=Mupom-sgjAU&amp;list=TLGGuW2Fx0IJe4YxMDA2MjAyNQ" TargetMode="External"/><Relationship Id="rId116" Type="http://schemas.openxmlformats.org/officeDocument/2006/relationships/hyperlink" Target="https://www.youtube.com/watch?v=Mupom-sgjAU&amp;list=TLGGuW2Fx0IJe4YxMDA2MjAyNQ" TargetMode="External"/><Relationship Id="rId115" Type="http://schemas.openxmlformats.org/officeDocument/2006/relationships/hyperlink" Target="https://www.youtube.com/watch?v=Mupom-sgjAU&amp;list=TLGGuW2Fx0IJe4YxMDA2MjAyNQ" TargetMode="External"/><Relationship Id="rId236" Type="http://schemas.openxmlformats.org/officeDocument/2006/relationships/drawing" Target="../drawings/drawing4.xml"/><Relationship Id="rId119" Type="http://schemas.openxmlformats.org/officeDocument/2006/relationships/hyperlink" Target="https://www.youtube.com/watch?v=Mupom-sgjAU&amp;list=TLGGuW2Fx0IJe4YxMDA2MjAyNQ" TargetMode="External"/><Relationship Id="rId110" Type="http://schemas.openxmlformats.org/officeDocument/2006/relationships/hyperlink" Target="https://www.youtube.com/watch?v=qEqWVNdIqKA&amp;list=TLGGTjGW-qj9EhUxMDA2MjAyNQ" TargetMode="External"/><Relationship Id="rId231" Type="http://schemas.openxmlformats.org/officeDocument/2006/relationships/hyperlink" Target="https://chatgpt.com/s/t_68b0b7b515c48191905687316b20c660" TargetMode="External"/><Relationship Id="rId230" Type="http://schemas.openxmlformats.org/officeDocument/2006/relationships/hyperlink" Target="https://chatgpt.com/s/t_68b0b7b515c48191905687316b20c660" TargetMode="External"/><Relationship Id="rId114" Type="http://schemas.openxmlformats.org/officeDocument/2006/relationships/hyperlink" Target="https://www.youtube.com/watch?v=Mupom-sgjAU&amp;list=TLGGuW2Fx0IJe4YxMDA2MjAyNQ" TargetMode="External"/><Relationship Id="rId235" Type="http://schemas.openxmlformats.org/officeDocument/2006/relationships/hyperlink" Target="https://chatgpt.com/s/t_68b0b7b515c48191905687316b20c660" TargetMode="External"/><Relationship Id="rId113" Type="http://schemas.openxmlformats.org/officeDocument/2006/relationships/hyperlink" Target="https://www.youtube.com/watch?v=Mupom-sgjAU&amp;list=TLGGuW2Fx0IJe4YxMDA2MjAyNQ" TargetMode="External"/><Relationship Id="rId234" Type="http://schemas.openxmlformats.org/officeDocument/2006/relationships/hyperlink" Target="https://chatgpt.com/s/t_68b0b7b515c48191905687316b20c660" TargetMode="External"/><Relationship Id="rId112" Type="http://schemas.openxmlformats.org/officeDocument/2006/relationships/hyperlink" Target="https://www.youtube.com/watch?v=qEqWVNdIqKA&amp;list=TLGGTjGW-qj9EhUxMDA2MjAyNQ" TargetMode="External"/><Relationship Id="rId233" Type="http://schemas.openxmlformats.org/officeDocument/2006/relationships/hyperlink" Target="https://chatgpt.com/s/t_68b0b7b515c48191905687316b20c660" TargetMode="External"/><Relationship Id="rId111" Type="http://schemas.openxmlformats.org/officeDocument/2006/relationships/hyperlink" Target="https://www.youtube.com/watch?v=qEqWVNdIqKA&amp;list=TLGGTjGW-qj9EhUxMDA2MjAyNQ" TargetMode="External"/><Relationship Id="rId232" Type="http://schemas.openxmlformats.org/officeDocument/2006/relationships/hyperlink" Target="https://chatgpt.com/s/t_68b0b7b515c48191905687316b20c660" TargetMode="External"/><Relationship Id="rId206" Type="http://schemas.openxmlformats.org/officeDocument/2006/relationships/hyperlink" Target="https://manus.im/app/BW91CbS2mKciOf4E3b3a3o" TargetMode="External"/><Relationship Id="rId205" Type="http://schemas.openxmlformats.org/officeDocument/2006/relationships/hyperlink" Target="https://manus.im/app/BW91CbS2mKciOf4E3b3a3o" TargetMode="External"/><Relationship Id="rId204" Type="http://schemas.openxmlformats.org/officeDocument/2006/relationships/hyperlink" Target="https://manus.im/app/BW91CbS2mKciOf4E3b3a3o" TargetMode="External"/><Relationship Id="rId203" Type="http://schemas.openxmlformats.org/officeDocument/2006/relationships/hyperlink" Target="https://manus.im/app/BW91CbS2mKciOf4E3b3a3o" TargetMode="External"/><Relationship Id="rId209" Type="http://schemas.openxmlformats.org/officeDocument/2006/relationships/hyperlink" Target="https://manus.im/app/BW91CbS2mKciOf4E3b3a3o" TargetMode="External"/><Relationship Id="rId208" Type="http://schemas.openxmlformats.org/officeDocument/2006/relationships/hyperlink" Target="https://manus.im/app/BW91CbS2mKciOf4E3b3a3o" TargetMode="External"/><Relationship Id="rId207" Type="http://schemas.openxmlformats.org/officeDocument/2006/relationships/hyperlink" Target="https://manus.im/app/BW91CbS2mKciOf4E3b3a3o" TargetMode="External"/><Relationship Id="rId202" Type="http://schemas.openxmlformats.org/officeDocument/2006/relationships/hyperlink" Target="https://manus.im/app/BW91CbS2mKciOf4E3b3a3o" TargetMode="External"/><Relationship Id="rId201" Type="http://schemas.openxmlformats.org/officeDocument/2006/relationships/hyperlink" Target="https://manus.im/app/BW91CbS2mKciOf4E3b3a3o" TargetMode="External"/><Relationship Id="rId200" Type="http://schemas.openxmlformats.org/officeDocument/2006/relationships/hyperlink" Target="https://manus.im/app/BW91CbS2mKciOf4E3b3a3o"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www.booking.com/hotel/it/villa-certosa-capri.html?aid=356980&amp;label=gen173nr-1FCAEoggI46AdIM1gEaIsCiAEBmAExuAEHyAEM2AEB6AEB-AECiAIBqAIDuALPy6PCBsACAdICJDE2YzI5MDk1LWI5ZmYtNGQyMi1iMjQzLTdhYzVmYTYwNDJkN9gCBeACAQ&amp;sid=91e2d0ea79d87936e43a9a54a56f11ca&amp;all_sr_blocks=1261424606_398756871_2_1_0&amp;checkin=2025-08-30&amp;checkout=2025-09-02&amp;dest_id=12614246&amp;dest_type=hotel&amp;dist=0&amp;group_adults=2&amp;group_children=0&amp;hapos=1&amp;highlighted_blocks=1261424606_398756871_2_1_0&amp;hpos=1&amp;matching_block_id=1261424606_398756871_2_1_0&amp;no_rooms=1&amp;req_adults=2&amp;req_children=0&amp;room1=A%2CA&amp;sb_price_type=total&amp;sr_order=popularity&amp;sr_pri_blocks=1261424606_398756871_2_1_0__324000&amp;srepoch=1749612254&amp;srpvid=916b17ecc9d8025b&amp;type=total&amp;ucfs=1&amp;" TargetMode="External"/><Relationship Id="rId10" Type="http://schemas.openxmlformats.org/officeDocument/2006/relationships/hyperlink" Target="https://travelsecure.chase.com/details/hotels/La-Moresca/848932?h.s.sid=00013d34-c4e6-48ab-bde8-100a4271d154-HLNXT%241106&amp;h.s.cid=2025-09-02T00%3A00%3A00&amp;h.s.cod=2025-09-04T00%3A00%3A00&amp;h.s.dlid=212297&amp;h.s.dltype=city&amp;h.s.agc=2&amp;h.s.dlat=40.653811&amp;h.s.dlong=14.613135&amp;h.s.dcc=IT&amp;h.s.dnm=Ravello%2C%20undefined&amp;h.s.si=false&amp;h.s.st=hotels&amp;h.f.idoh=false&amp;h.p.sb=boolSortfield1%20desc%2C%20boolSortfield2%20desc%2C%20numberSortfield1%20asc%2C%20recommendation&amp;h.p.sbvh=boolSortfield1%20desc%2C%20boolSortfield2%20desc%2C%20numberSortfield1%20asc%2C%20recommendation&amp;h.p.pn=2&amp;h.p.ps=10&amp;h.p.bm=h-848932&amp;h.p.mn=false" TargetMode="External"/><Relationship Id="rId13" Type="http://schemas.openxmlformats.org/officeDocument/2006/relationships/hyperlink" Target="https://travelsecure.chase.com/details/hotels/Palazzo-Confalone/47628?h.s.sid=00013d34-c4e6-48ab-bde8-100a4271d154-HLNXT%241106&amp;h.s.cid=2025-09-02T00%3A00%3A00&amp;h.s.cod=2025-09-04T00%3A00%3A00&amp;h.s.dlid=212297&amp;h.s.dltype=city&amp;h.s.agc=2&amp;h.s.dlat=40.64909&amp;h.s.dlong=14.61176&amp;h.s.dcc=IT&amp;h.s.dnm=Ravello%2C%20undefined&amp;h.s.si=false&amp;h.s.st=hotels&amp;h.f.idoh=false&amp;h.p.sb=boolSortfield1%20desc%2C%20boolSortfield2%20desc%2C%20numberSortfield1%20asc%2C%20recommendation&amp;h.p.sbvh=boolSortfield1%20desc%2C%20boolSortfield2%20desc%2C%20numberSortfield1%20asc%2C%20recommendation&amp;h.p.pn=2&amp;h.p.ps=10&amp;h.p.bm=h-47628&amp;h.p.mn=false" TargetMode="External"/><Relationship Id="rId12" Type="http://schemas.openxmlformats.org/officeDocument/2006/relationships/hyperlink" Target="https://www.booking.com/hotel/it/palumbo.html?aid=356980&amp;label=gen173nr-1FCAEoggI46AdIM1gEaIsCiAEBmAExuAEHyAEM2AEB6AEB-AECiAIBqAIDuALPy6PCBsACAdICJDE2YzI5MDk1LWI5ZmYtNGQyMi1iMjQzLTdhYzVmYTYwNDJkN9gCBeACAQ&amp;sid=91e2d0ea79d87936e43a9a54a56f11ca&amp;all_sr_blocks=8690005_400328424_0_1_0&amp;checkin=2025-09-02&amp;checkout=2025-09-04&amp;dest_id=21668&amp;dest_type=hotel&amp;dist=0&amp;group_adults=2&amp;group_children=0&amp;hapos=2&amp;highlighted_blocks=8690005_400328424_0_1_0&amp;hpos=2&amp;matching_block_id=8690005_400328424_0_1_0&amp;no_rooms=1&amp;req_adults=2&amp;req_children=0&amp;room1=A%2CA&amp;sb_price_type=total&amp;sr_order=popularity&amp;sr_pri_blocks=8690005_400328424_0_1_0__96218&amp;srepoch=1750123260&amp;srpvid=9fe20970854c01d4&amp;type=total&amp;ucfs=1&amp;" TargetMode="External"/><Relationship Id="rId14" Type="http://schemas.openxmlformats.org/officeDocument/2006/relationships/drawing" Target="../drawings/drawing5.xml"/><Relationship Id="rId1" Type="http://schemas.openxmlformats.org/officeDocument/2006/relationships/hyperlink" Target="https://www.booking.com/hotel/it/la-palma-capri.html?label=gen173nr-1FCAEoggI46AdIM1gEaIsCiAEBmAExuAEHyAEM2AEB6AEB-AECiAIBqAIDuAKAhqbCBsACAdICJDJjMmU5YTA5LWQ4MWYtNDY1My1iZWU5LTU0MWMxM2Y1NzZiNdgCBeACAQ&amp;sid=91e2d0ea79d87936e43a9a54a56f11ca&amp;aid=356980&amp;ucfs=1&amp;arphpl=1&amp;checkin=2025-08-30&amp;checkout=2025-09-02&amp;dest_id=14023&amp;dest_type=hotel&amp;group_adults=2&amp;req_adults=2&amp;no_rooms=1&amp;group_children=0&amp;req_children=0&amp;hpos=1&amp;hapos=1&amp;sr_order=popularity&amp;srpvid=f8b0a8a34efa00d3&amp;srepoch=1750118354&amp;all_sr_blocks=1402303_359798811_2_1_0&amp;highlighted_blocks=1402303_359798811_2_1_0&amp;matching_block_id=1402303_359798811_2_1_0&amp;sr_pri_blocks=1402303_359798811_2_1_0__627273&amp;from=searchresults" TargetMode="External"/><Relationship Id="rId2" Type="http://schemas.openxmlformats.org/officeDocument/2006/relationships/hyperlink" Target="https://www.booking.com/hotel/it/palazzo-morgano.html?aid=356980&amp;label=gen173nr-1FCAEoggI46AdIM1gEaIsCiAEBmAExuAEHyAEM2AEB6AEB-AECiAIBqAIDuAKAhqbCBsACAdICJDJjMmU5YTA5LWQ4MWYtNDY1My1iZWU5LTU0MWMxM2Y1NzZiNdgCBeACAQ&amp;sid=91e2d0ea79d87936e43a9a54a56f11ca&amp;all_sr_blocks=947033603_367264441_2_2_0&amp;checkin=2025-08-30&amp;checkout=2025-09-02&amp;dest_id=-113213&amp;dest_type=city&amp;dist=0&amp;group_adults=2&amp;group_children=0&amp;hapos=1&amp;highlighted_blocks=947033603_367264441_2_2_0&amp;hpos=1&amp;matching_block_id=947033603_367264441_2_2_0&amp;nflt=review_score%3D90%3Bht_id%3D204&amp;no_rooms=1&amp;req_adults=2&amp;req_children=0&amp;room1=A%2CA&amp;sb_price_type=total&amp;sr_order=popularity&amp;sr_pri_blocks=947033603_367264441_2_2_0__359578&amp;srepoch=1750117166&amp;srpvid=893ea5b65e9f0241&amp;type=total&amp;ucfs=1&amp;" TargetMode="External"/><Relationship Id="rId3" Type="http://schemas.openxmlformats.org/officeDocument/2006/relationships/hyperlink" Target="https://www.booking.com/hotel/it/palazzo-avino-ravello.html?aid=356980&amp;label=gen173nr-1FCAEoggI46AdIM1gEaIsCiAEBmAExuAEHyAEM2AEB6AEB-AECiAIBqAIDuALPy6PCBsACAdICJDE2YzI5MDk1LWI5ZmYtNGQyMi1iMjQzLTdhYzVmYTYwNDJkN9gCBeACAQ&amp;sid=91e2d0ea79d87936e43a9a54a56f11ca&amp;all_sr_blocks=440023710_370456277_2_1_0&amp;checkin=2025-09-02&amp;checkout=2025-09-04&amp;dest_id=4400237&amp;dest_type=hotel&amp;dist=0&amp;group_adults=2&amp;group_children=0&amp;hapos=1&amp;highlighted_blocks=440023710_370456277_2_1_0&amp;hpos=1&amp;matching_block_id=440023710_370456277_2_1_0&amp;no_rooms=1&amp;req_adults=2&amp;req_children=0&amp;room1=A%2CA&amp;sb_price_type=total&amp;sr_order=popularity&amp;sr_pri_blocks=440023710_370456277_2_1_0__386100&amp;srepoch=1750120635&amp;srpvid=b72a03ed639b037e&amp;type=total&amp;ucfs=1&amp;" TargetMode="External"/><Relationship Id="rId4" Type="http://schemas.openxmlformats.org/officeDocument/2006/relationships/hyperlink" Target="https://www.booking.com/hotel/it/villa-barluzzi-ravello.html?aid=356980&amp;label=gen173nr-1FCAEoggI46AdIM1gEaIsCiAEBmAExuAEHyAEM2AEB6AEB-AECiAIBqAIDuALPy6PCBsACAdICJDE2YzI5MDk1LWI5ZmYtNGQyMi1iMjQzLTdhYzVmYTYwNDJkN9gCBeACAQ&amp;sid=91e2d0ea79d87936e43a9a54a56f11ca&amp;all_sr_blocks=1077824304_380370175_2_1_0&amp;checkin=2025-09-02&amp;checkout=2025-09-04&amp;dest_id=-126145&amp;dest_type=city&amp;dist=0&amp;group_adults=2&amp;group_children=0&amp;hapos=2&amp;highlighted_blocks=1077824304_380370175_2_1_0&amp;hpos=2&amp;matching_block_id=1077824304_380370175_2_1_0&amp;nflt=review_score%3D90&amp;no_rooms=1&amp;req_adults=2&amp;req_children=0&amp;room1=A%2CA&amp;sb_price_type=total&amp;sr_order=popularity&amp;sr_pri_blocks=1077824304_380370175_2_1_0__107754&amp;srepoch=1750122801&amp;srpvid=9a3a088ac38c0582&amp;type=total&amp;ucfs=1&amp;" TargetMode="External"/><Relationship Id="rId9" Type="http://schemas.openxmlformats.org/officeDocument/2006/relationships/hyperlink" Target="https://www.booking.com/hotel/it/capri-tiberio-palace-resort-spa.html?aid=356980&amp;label=gen173nr-1FCAEoggI46AdIM1gEaIsCiAEBmAExuAEHyAEM2AEB6AEB-AECiAIBqAIDuAKAhqbCBsACAdICJDJjMmU5YTA5LWQ4MWYtNDY1My1iZWU5LTU0MWMxM2Y1NzZiNdgCBeACAQ&amp;sid=91e2d0ea79d87936e43a9a54a56f11ca&amp;all_sr_blocks=1664110_95141337_2_1_0&amp;checkin=2025-08-30&amp;checkout=2025-09-02&amp;dest_id=16641&amp;dest_type=hotel&amp;dist=0&amp;group_adults=2&amp;group_children=0&amp;hapos=1&amp;highlighted_blocks=1664110_95141337_2_1_0&amp;hpos=1&amp;matching_block_id=1664110_95141337_2_1_0&amp;no_rooms=1&amp;req_adults=2&amp;req_children=0&amp;room1=A%2CA&amp;sb_price_type=total&amp;sr_order=popularity&amp;sr_pri_blocks=1664110_95141337_2_1_0__414027&amp;srepoch=1750118205&amp;srpvid=9936a85ba93d0384&amp;type=total&amp;ucfs=1&amp;" TargetMode="External"/><Relationship Id="rId5" Type="http://schemas.openxmlformats.org/officeDocument/2006/relationships/hyperlink" Target="https://www.booking.com/hotel/it/punta-tragara.html?aid=356980&amp;label=gen173nr-1FCAEoggI46AdIM1gEaIsCiAEBmAExuAEHyAEM2AEB6AEB-AECiAIBqAIDuAKAhqbCBsACAdICJDJjMmU5YTA5LWQ4MWYtNDY1My1iZWU5LTU0MWMxM2Y1NzZiNdgCBeACAQ&amp;sid=91e2d0ea79d87936e43a9a54a56f11ca&amp;all_sr_blocks=2433206_297729330_2_1_0&amp;checkin=2025-08-30&amp;checkout=2025-09-02&amp;dest_id=24332&amp;dest_type=hotel&amp;dist=0&amp;group_adults=2&amp;group_children=0&amp;hapos=1&amp;highlighted_blocks=2433206_297729330_2_1_0&amp;hpos=1&amp;matching_block_id=2433206_297729330_2_1_0&amp;no_rooms=1&amp;req_adults=2&amp;req_children=0&amp;room1=A%2CA&amp;sb_price_type=total&amp;sr_order=popularity&amp;sr_pri_blocks=2433206_297729330_2_1_0__885000&amp;srepoch=1750117862&amp;srpvid=8aa0a7ad17bf0193&amp;type=total&amp;ucfs=1&amp;" TargetMode="External"/><Relationship Id="rId6" Type="http://schemas.openxmlformats.org/officeDocument/2006/relationships/hyperlink" Target="https://www.booking.com/hotel/it/villa-maria-ravello.html?aid=356929&amp;label=metagha-link-MRUS-hotel-21668_dev-desktop_los-2_bw-38_dow-Friday_defdate-0_room-0_gstadt-2_rateid-us_aud-0_gacid-21404666577_mcid-10_ppa-0_clrid-0_ad-1_gstkid-0_checkin-20250725_ppt-G_lp-2840_r-387523825483899428&amp;sid=91e2d0ea79d87936e43a9a54a56f11ca&amp;all_sr_blocks=2166806_95146028_0_41_0&amp;checkin=2025-07-25&amp;checkout=2025-07-27&amp;dest_id=21668&amp;dest_type=hotel&amp;dist=0&amp;group_adults=2&amp;group_children=0&amp;hapos=1&amp;highlighted_blocks=2166806_95146028_0_41_0&amp;hpos=1&amp;matching_block_id=2166806_95146028_0_41_0&amp;no_rooms=1&amp;req_adults=2&amp;req_children=0&amp;room1=A%2CA&amp;sb_price_type=total&amp;sr_order=popularity&amp;sr_pri_blocks=2166806_95146028_0_41_0__58186&amp;srepoch=1750123175&amp;srpvid=f0df094c1a7700a3&amp;type=total&amp;ucfs=1&amp;" TargetMode="External"/><Relationship Id="rId7" Type="http://schemas.openxmlformats.org/officeDocument/2006/relationships/hyperlink" Target="http://booking.com/hotel/it/rufolo.html?aid=356980&amp;label=gen173nr-1FCAEoggI46AdIM1gEaIsCiAEBmAExuAEHyAEM2AEB6AEB-AECiAIBqAIDuALPy6PCBsACAdICJDE2YzI5MDk1LWI5ZmYtNGQyMi1iMjQzLTdhYzVmYTYwNDJkN9gCBeACAQ&amp;sid=91e2d0ea79d87936e43a9a54a56f11ca&amp;all_sr_blocks=8974202_88441177_0_2_0&amp;checkin=2025-09-02&amp;checkout=2025-09-04&amp;dest_id=89742&amp;dest_type=hotel&amp;dist=0&amp;group_adults=2&amp;group_children=0&amp;hapos=1&amp;highlighted_blocks=8974202_88441177_0_2_0&amp;hpos=1&amp;matching_block_id=8974202_88441177_0_2_0&amp;no_rooms=1&amp;req_adults=2&amp;req_children=0&amp;room1=A%2CA&amp;sb_price_type=total&amp;sr_order=popularity&amp;sr_pri_blocks=8974202_88441177_0_2_0__81144&amp;srepoch=1750216082&amp;srpvid=b70515967fbd0303&amp;type=total&amp;ucfs=1&amp;" TargetMode="External"/><Relationship Id="rId8" Type="http://schemas.openxmlformats.org/officeDocument/2006/relationships/hyperlink" Target="https://travelsecure.chase.com/details/hotels/Hotel-Rufolo/89063?h.s.sid=00013d34-c4e6-48ab-bde8-100a4271d154-HLNXT%241106&amp;h.s.cid=2025-09-02T00%3A00%3A00&amp;h.s.cod=2025-09-04T00%3A00%3A00&amp;h.s.dlid=212297&amp;h.s.dltype=city&amp;h.s.agc=2&amp;h.s.dlat=40.648412&amp;h.s.dlong=14.612137&amp;h.s.dcc=IT&amp;h.s.dnm=Ravello%2C%20undefined&amp;h.s.si=false&amp;h.s.st=hotels&amp;h.f.idoh=false&amp;h.p.sb=boolSortfield1%20desc%2C%20boolSortfield2%20desc%2C%20numberSortfield1%20asc%2C%20recommendation&amp;h.p.sbvh=boolSortfield1%20desc%2C%20boolSortfield2%20desc%2C%20numberSortfield1%20asc%2C%20recommendation&amp;h.p.pn=2&amp;h.p.ps=10&amp;h.p.bm=h-89063&amp;h.p.mn=false" TargetMode="External"/></Relationships>
</file>

<file path=xl/worksheets/_rels/sheet6.xml.rels><?xml version="1.0" encoding="UTF-8" standalone="yes"?><Relationships xmlns="http://schemas.openxmlformats.org/package/2006/relationships"><Relationship Id="rId10" Type="http://schemas.openxmlformats.org/officeDocument/2006/relationships/vmlDrawing" Target="../drawings/vmlDrawing3.vml"/><Relationship Id="rId1" Type="http://schemas.openxmlformats.org/officeDocument/2006/relationships/comments" Target="../comments3.xml"/><Relationship Id="rId2" Type="http://schemas.openxmlformats.org/officeDocument/2006/relationships/hyperlink" Target="https://gemini.google.com/app/61fa28bb6d3a4a89" TargetMode="External"/><Relationship Id="rId3" Type="http://schemas.openxmlformats.org/officeDocument/2006/relationships/hyperlink" Target="https://chatgpt.com/c/683f8a4c-4eb0-8009-a5dc-f5238dcd3051" TargetMode="External"/><Relationship Id="rId4" Type="http://schemas.openxmlformats.org/officeDocument/2006/relationships/hyperlink" Target="https://www.icloud.com/notes/note/UHJpdmF0ZTo6Tm90ZXM6OmN1cnJlbnRVc2VyOjpEOEMxNDI4OC05MzRBLTQ2M0MtQTgyRC01NzJBOTZDMjE4MUM=" TargetMode="External"/><Relationship Id="rId9" Type="http://schemas.openxmlformats.org/officeDocument/2006/relationships/drawing" Target="../drawings/drawing6.xml"/><Relationship Id="rId5" Type="http://schemas.openxmlformats.org/officeDocument/2006/relationships/hyperlink" Target="https://www.icloud.com/notes/note/UHJpdmF0ZTo6Tm90ZXM6OmN1cnJlbnRVc2VyOjpDNjQzRjcxOS0xRkNDLTQ4MzktOEZGOS0yNEE4MTUxQkVGQzY=" TargetMode="External"/><Relationship Id="rId6" Type="http://schemas.openxmlformats.org/officeDocument/2006/relationships/hyperlink" Target="https://manus.im/app/LRSR4Fx06Cww4afr9a7J4t" TargetMode="External"/><Relationship Id="rId7" Type="http://schemas.openxmlformats.org/officeDocument/2006/relationships/hyperlink" Target="https://manus.im/app/KJC6Ixn9ZFEgpriWR1GDzd" TargetMode="External"/><Relationship Id="rId8" Type="http://schemas.openxmlformats.org/officeDocument/2006/relationships/hyperlink" Target="https://paolinocapri.com/en/prenota-un-tavolo/"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chatgpt.com/s/t_686ec262743c81919f7e1eac40fb8c50" TargetMode="External"/><Relationship Id="rId2" Type="http://schemas.openxmlformats.org/officeDocument/2006/relationships/hyperlink" Target="https://chatgpt.com/s/t_686eb5464f788191844741a0b21cd855"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https://chatgpt.com/c/6846f0da-7884-8009-ad13-dba01dfa021d" TargetMode="External"/><Relationship Id="rId22" Type="http://schemas.openxmlformats.org/officeDocument/2006/relationships/hyperlink" Target="https://chatgpt.com/c/6846f0da-7884-8009-ad13-dba01dfa021d" TargetMode="External"/><Relationship Id="rId21" Type="http://schemas.openxmlformats.org/officeDocument/2006/relationships/hyperlink" Target="https://chatgpt.com/c/6846f0da-7884-8009-ad13-dba01dfa021d" TargetMode="External"/><Relationship Id="rId24" Type="http://schemas.openxmlformats.org/officeDocument/2006/relationships/hyperlink" Target="https://chatgpt.com/c/6846f0da-7884-8009-ad13-dba01dfa021d" TargetMode="External"/><Relationship Id="rId23" Type="http://schemas.openxmlformats.org/officeDocument/2006/relationships/hyperlink" Target="https://chatgpt.com/c/6846f0da-7884-8009-ad13-dba01dfa021d" TargetMode="External"/><Relationship Id="rId26" Type="http://schemas.openxmlformats.org/officeDocument/2006/relationships/drawing" Target="../drawings/drawing8.xml"/><Relationship Id="rId25" Type="http://schemas.openxmlformats.org/officeDocument/2006/relationships/hyperlink" Target="https://chatgpt.com/c/6846f0da-7884-8009-ad13-dba01dfa021d" TargetMode="External"/><Relationship Id="rId11" Type="http://schemas.openxmlformats.org/officeDocument/2006/relationships/hyperlink" Target="https://chatgpt.com/c/6846f0da-7884-8009-ad13-dba01dfa021d" TargetMode="External"/><Relationship Id="rId10" Type="http://schemas.openxmlformats.org/officeDocument/2006/relationships/hyperlink" Target="https://chatgpt.com/c/6846f0da-7884-8009-ad13-dba01dfa021d" TargetMode="External"/><Relationship Id="rId13" Type="http://schemas.openxmlformats.org/officeDocument/2006/relationships/hyperlink" Target="https://chatgpt.com/c/6846f0da-7884-8009-ad13-dba01dfa021d" TargetMode="External"/><Relationship Id="rId12" Type="http://schemas.openxmlformats.org/officeDocument/2006/relationships/hyperlink" Target="https://chatgpt.com/c/6846f0da-7884-8009-ad13-dba01dfa021d" TargetMode="External"/><Relationship Id="rId15" Type="http://schemas.openxmlformats.org/officeDocument/2006/relationships/hyperlink" Target="https://chatgpt.com/c/6846f0da-7884-8009-ad13-dba01dfa021d" TargetMode="External"/><Relationship Id="rId14" Type="http://schemas.openxmlformats.org/officeDocument/2006/relationships/hyperlink" Target="https://chatgpt.com/c/6846f0da-7884-8009-ad13-dba01dfa021d" TargetMode="External"/><Relationship Id="rId17" Type="http://schemas.openxmlformats.org/officeDocument/2006/relationships/hyperlink" Target="https://chatgpt.com/c/6846f0da-7884-8009-ad13-dba01dfa021d" TargetMode="External"/><Relationship Id="rId16" Type="http://schemas.openxmlformats.org/officeDocument/2006/relationships/hyperlink" Target="https://chatgpt.com/c/6846f0da-7884-8009-ad13-dba01dfa021d" TargetMode="External"/><Relationship Id="rId19" Type="http://schemas.openxmlformats.org/officeDocument/2006/relationships/hyperlink" Target="https://chatgpt.com/c/6846f0da-7884-8009-ad13-dba01dfa021d" TargetMode="External"/><Relationship Id="rId18" Type="http://schemas.openxmlformats.org/officeDocument/2006/relationships/hyperlink" Target="https://chatgpt.com/c/6846f0da-7884-8009-ad13-dba01dfa021d" TargetMode="External"/><Relationship Id="rId1" Type="http://schemas.openxmlformats.org/officeDocument/2006/relationships/hyperlink" Target="https://chatgpt.com/c/6846f0da-7884-8009-ad13-dba01dfa021d" TargetMode="External"/><Relationship Id="rId2" Type="http://schemas.openxmlformats.org/officeDocument/2006/relationships/hyperlink" Target="https://chatgpt.com/c/6846f0da-7884-8009-ad13-dba01dfa021d" TargetMode="External"/><Relationship Id="rId3" Type="http://schemas.openxmlformats.org/officeDocument/2006/relationships/hyperlink" Target="https://www.fontelina-capri.com/en/index?utm_source=chatgpt.com" TargetMode="External"/><Relationship Id="rId4" Type="http://schemas.openxmlformats.org/officeDocument/2006/relationships/hyperlink" Target="https://chatgpt.com/c/6846f0da-7884-8009-ad13-dba01dfa021d" TargetMode="External"/><Relationship Id="rId9" Type="http://schemas.openxmlformats.org/officeDocument/2006/relationships/hyperlink" Target="https://chatgpt.com/c/6846f0da-7884-8009-ad13-dba01dfa021d" TargetMode="External"/><Relationship Id="rId5" Type="http://schemas.openxmlformats.org/officeDocument/2006/relationships/hyperlink" Target="https://chatgpt.com/c/6846f0da-7884-8009-ad13-dba01dfa021d" TargetMode="External"/><Relationship Id="rId6" Type="http://schemas.openxmlformats.org/officeDocument/2006/relationships/hyperlink" Target="https://chatgpt.com/c/6846f0da-7884-8009-ad13-dba01dfa021d" TargetMode="External"/><Relationship Id="rId7" Type="http://schemas.openxmlformats.org/officeDocument/2006/relationships/hyperlink" Target="https://chatgpt.com/c/6846f0da-7884-8009-ad13-dba01dfa021d" TargetMode="External"/><Relationship Id="rId8" Type="http://schemas.openxmlformats.org/officeDocument/2006/relationships/hyperlink" Target="https://chatgpt.com/c/6846f0da-7884-8009-ad13-dba01dfa021d"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manus.im/app/KJC6Ixn9ZFEgpriWR1GDzd" TargetMode="External"/><Relationship Id="rId42" Type="http://schemas.openxmlformats.org/officeDocument/2006/relationships/hyperlink" Target="https://manus.im/app/KJC6Ixn9ZFEgpriWR1GDzd" TargetMode="External"/><Relationship Id="rId41" Type="http://schemas.openxmlformats.org/officeDocument/2006/relationships/hyperlink" Target="https://manus.im/app/KJC6Ixn9ZFEgpriWR1GDzd" TargetMode="External"/><Relationship Id="rId44" Type="http://schemas.openxmlformats.org/officeDocument/2006/relationships/hyperlink" Target="https://manus.im/app/KJC6Ixn9ZFEgpriWR1GDzd" TargetMode="External"/><Relationship Id="rId43" Type="http://schemas.openxmlformats.org/officeDocument/2006/relationships/hyperlink" Target="https://manus.im/app/KJC6Ixn9ZFEgpriWR1GDzd" TargetMode="External"/><Relationship Id="rId46" Type="http://schemas.openxmlformats.org/officeDocument/2006/relationships/hyperlink" Target="https://manus.im/app/KJC6Ixn9ZFEgpriWR1GDzd" TargetMode="External"/><Relationship Id="rId45" Type="http://schemas.openxmlformats.org/officeDocument/2006/relationships/hyperlink" Target="https://manus.im/app/KJC6Ixn9ZFEgpriWR1GDzd" TargetMode="External"/><Relationship Id="rId48" Type="http://schemas.openxmlformats.org/officeDocument/2006/relationships/hyperlink" Target="https://manus.im/app/KJC6Ixn9ZFEgpriWR1GDzd" TargetMode="External"/><Relationship Id="rId47" Type="http://schemas.openxmlformats.org/officeDocument/2006/relationships/hyperlink" Target="https://manus.im/app/KJC6Ixn9ZFEgpriWR1GDzd" TargetMode="External"/><Relationship Id="rId49" Type="http://schemas.openxmlformats.org/officeDocument/2006/relationships/hyperlink" Target="https://manus.im/app/KJC6Ixn9ZFEgpriWR1GDzd" TargetMode="External"/><Relationship Id="rId31" Type="http://schemas.openxmlformats.org/officeDocument/2006/relationships/hyperlink" Target="https://manus.im/app/KJC6Ixn9ZFEgpriWR1GDzd" TargetMode="External"/><Relationship Id="rId30" Type="http://schemas.openxmlformats.org/officeDocument/2006/relationships/hyperlink" Target="https://manus.im/app/KJC6Ixn9ZFEgpriWR1GDzd" TargetMode="External"/><Relationship Id="rId33" Type="http://schemas.openxmlformats.org/officeDocument/2006/relationships/hyperlink" Target="https://manus.im/app/KJC6Ixn9ZFEgpriWR1GDzd" TargetMode="External"/><Relationship Id="rId32" Type="http://schemas.openxmlformats.org/officeDocument/2006/relationships/hyperlink" Target="https://manus.im/app/KJC6Ixn9ZFEgpriWR1GDzd" TargetMode="External"/><Relationship Id="rId35" Type="http://schemas.openxmlformats.org/officeDocument/2006/relationships/hyperlink" Target="https://manus.im/app/KJC6Ixn9ZFEgpriWR1GDzd" TargetMode="External"/><Relationship Id="rId34" Type="http://schemas.openxmlformats.org/officeDocument/2006/relationships/hyperlink" Target="https://manus.im/app/KJC6Ixn9ZFEgpriWR1GDzd" TargetMode="External"/><Relationship Id="rId37" Type="http://schemas.openxmlformats.org/officeDocument/2006/relationships/hyperlink" Target="https://manus.im/app/KJC6Ixn9ZFEgpriWR1GDzd" TargetMode="External"/><Relationship Id="rId36" Type="http://schemas.openxmlformats.org/officeDocument/2006/relationships/hyperlink" Target="https://manus.im/app/KJC6Ixn9ZFEgpriWR1GDzd" TargetMode="External"/><Relationship Id="rId39" Type="http://schemas.openxmlformats.org/officeDocument/2006/relationships/hyperlink" Target="https://manus.im/app/KJC6Ixn9ZFEgpriWR1GDzd" TargetMode="External"/><Relationship Id="rId38" Type="http://schemas.openxmlformats.org/officeDocument/2006/relationships/hyperlink" Target="https://manus.im/app/KJC6Ixn9ZFEgpriWR1GDzd" TargetMode="External"/><Relationship Id="rId20" Type="http://schemas.openxmlformats.org/officeDocument/2006/relationships/hyperlink" Target="https://manus.im/app/KJC6Ixn9ZFEgpriWR1GDzd" TargetMode="External"/><Relationship Id="rId22" Type="http://schemas.openxmlformats.org/officeDocument/2006/relationships/hyperlink" Target="https://manus.im/app/KJC6Ixn9ZFEgpriWR1GDzd" TargetMode="External"/><Relationship Id="rId21" Type="http://schemas.openxmlformats.org/officeDocument/2006/relationships/hyperlink" Target="https://manus.im/app/KJC6Ixn9ZFEgpriWR1GDzd" TargetMode="External"/><Relationship Id="rId24" Type="http://schemas.openxmlformats.org/officeDocument/2006/relationships/hyperlink" Target="https://manus.im/app/KJC6Ixn9ZFEgpriWR1GDzd" TargetMode="External"/><Relationship Id="rId23" Type="http://schemas.openxmlformats.org/officeDocument/2006/relationships/hyperlink" Target="https://manus.im/app/KJC6Ixn9ZFEgpriWR1GDzd" TargetMode="External"/><Relationship Id="rId26" Type="http://schemas.openxmlformats.org/officeDocument/2006/relationships/hyperlink" Target="https://manus.im/app/KJC6Ixn9ZFEgpriWR1GDzd" TargetMode="External"/><Relationship Id="rId25" Type="http://schemas.openxmlformats.org/officeDocument/2006/relationships/hyperlink" Target="https://manus.im/app/KJC6Ixn9ZFEgpriWR1GDzd" TargetMode="External"/><Relationship Id="rId28" Type="http://schemas.openxmlformats.org/officeDocument/2006/relationships/hyperlink" Target="https://manus.im/app/KJC6Ixn9ZFEgpriWR1GDzd" TargetMode="External"/><Relationship Id="rId27" Type="http://schemas.openxmlformats.org/officeDocument/2006/relationships/hyperlink" Target="https://manus.im/app/KJC6Ixn9ZFEgpriWR1GDzd" TargetMode="External"/><Relationship Id="rId29" Type="http://schemas.openxmlformats.org/officeDocument/2006/relationships/hyperlink" Target="https://manus.im/app/KJC6Ixn9ZFEgpriWR1GDzd" TargetMode="External"/><Relationship Id="rId11" Type="http://schemas.openxmlformats.org/officeDocument/2006/relationships/hyperlink" Target="https://manus.im/app/KJC6Ixn9ZFEgpriWR1GDzd" TargetMode="External"/><Relationship Id="rId10" Type="http://schemas.openxmlformats.org/officeDocument/2006/relationships/hyperlink" Target="https://manus.im/app/KJC6Ixn9ZFEgpriWR1GDzd" TargetMode="External"/><Relationship Id="rId13" Type="http://schemas.openxmlformats.org/officeDocument/2006/relationships/hyperlink" Target="https://manus.im/app/KJC6Ixn9ZFEgpriWR1GDzd" TargetMode="External"/><Relationship Id="rId12" Type="http://schemas.openxmlformats.org/officeDocument/2006/relationships/hyperlink" Target="https://manus.im/app/KJC6Ixn9ZFEgpriWR1GDzd" TargetMode="External"/><Relationship Id="rId15" Type="http://schemas.openxmlformats.org/officeDocument/2006/relationships/hyperlink" Target="https://manus.im/app/KJC6Ixn9ZFEgpriWR1GDzd" TargetMode="External"/><Relationship Id="rId14" Type="http://schemas.openxmlformats.org/officeDocument/2006/relationships/hyperlink" Target="https://manus.im/app/KJC6Ixn9ZFEgpriWR1GDzd" TargetMode="External"/><Relationship Id="rId17" Type="http://schemas.openxmlformats.org/officeDocument/2006/relationships/hyperlink" Target="https://manus.im/app/KJC6Ixn9ZFEgpriWR1GDzd" TargetMode="External"/><Relationship Id="rId16" Type="http://schemas.openxmlformats.org/officeDocument/2006/relationships/hyperlink" Target="https://manus.im/app/KJC6Ixn9ZFEgpriWR1GDzd" TargetMode="External"/><Relationship Id="rId19" Type="http://schemas.openxmlformats.org/officeDocument/2006/relationships/hyperlink" Target="https://manus.im/app/KJC6Ixn9ZFEgpriWR1GDzd" TargetMode="External"/><Relationship Id="rId18" Type="http://schemas.openxmlformats.org/officeDocument/2006/relationships/hyperlink" Target="https://manus.im/app/KJC6Ixn9ZFEgpriWR1GDzd" TargetMode="External"/><Relationship Id="rId1" Type="http://schemas.openxmlformats.org/officeDocument/2006/relationships/hyperlink" Target="https://manus.im/app/KJC6Ixn9ZFEgpriWR1GDzd" TargetMode="External"/><Relationship Id="rId2" Type="http://schemas.openxmlformats.org/officeDocument/2006/relationships/hyperlink" Target="https://manus.im/app/KJC6Ixn9ZFEgpriWR1GDzd" TargetMode="External"/><Relationship Id="rId3" Type="http://schemas.openxmlformats.org/officeDocument/2006/relationships/hyperlink" Target="https://manus.im/app/KJC6Ixn9ZFEgpriWR1GDzd" TargetMode="External"/><Relationship Id="rId4" Type="http://schemas.openxmlformats.org/officeDocument/2006/relationships/hyperlink" Target="https://manus.im/app/KJC6Ixn9ZFEgpriWR1GDzd" TargetMode="External"/><Relationship Id="rId9" Type="http://schemas.openxmlformats.org/officeDocument/2006/relationships/hyperlink" Target="https://manus.im/app/KJC6Ixn9ZFEgpriWR1GDzd" TargetMode="External"/><Relationship Id="rId5" Type="http://schemas.openxmlformats.org/officeDocument/2006/relationships/hyperlink" Target="https://manus.im/app/KJC6Ixn9ZFEgpriWR1GDzd" TargetMode="External"/><Relationship Id="rId6" Type="http://schemas.openxmlformats.org/officeDocument/2006/relationships/hyperlink" Target="https://manus.im/app/KJC6Ixn9ZFEgpriWR1GDzd" TargetMode="External"/><Relationship Id="rId7" Type="http://schemas.openxmlformats.org/officeDocument/2006/relationships/hyperlink" Target="https://manus.im/app/KJC6Ixn9ZFEgpriWR1GDzd" TargetMode="External"/><Relationship Id="rId8" Type="http://schemas.openxmlformats.org/officeDocument/2006/relationships/hyperlink" Target="https://manus.im/app/KJC6Ixn9ZFEgpriWR1GDzd" TargetMode="External"/><Relationship Id="rId62" Type="http://schemas.openxmlformats.org/officeDocument/2006/relationships/hyperlink" Target="https://manus.im/app/KJC6Ixn9ZFEgpriWR1GDzd" TargetMode="External"/><Relationship Id="rId61" Type="http://schemas.openxmlformats.org/officeDocument/2006/relationships/hyperlink" Target="https://manus.im/app/KJC6Ixn9ZFEgpriWR1GDzd" TargetMode="External"/><Relationship Id="rId64" Type="http://schemas.openxmlformats.org/officeDocument/2006/relationships/hyperlink" Target="https://manus.im/app/KJC6Ixn9ZFEgpriWR1GDzd" TargetMode="External"/><Relationship Id="rId63" Type="http://schemas.openxmlformats.org/officeDocument/2006/relationships/hyperlink" Target="https://manus.im/app/KJC6Ixn9ZFEgpriWR1GDzd" TargetMode="External"/><Relationship Id="rId66" Type="http://schemas.openxmlformats.org/officeDocument/2006/relationships/hyperlink" Target="https://manus.im/app/KJC6Ixn9ZFEgpriWR1GDzd" TargetMode="External"/><Relationship Id="rId65" Type="http://schemas.openxmlformats.org/officeDocument/2006/relationships/hyperlink" Target="https://manus.im/app/KJC6Ixn9ZFEgpriWR1GDzd" TargetMode="External"/><Relationship Id="rId67" Type="http://schemas.openxmlformats.org/officeDocument/2006/relationships/drawing" Target="../drawings/drawing9.xml"/><Relationship Id="rId60" Type="http://schemas.openxmlformats.org/officeDocument/2006/relationships/hyperlink" Target="https://manus.im/app/KJC6Ixn9ZFEgpriWR1GDzd" TargetMode="External"/><Relationship Id="rId51" Type="http://schemas.openxmlformats.org/officeDocument/2006/relationships/hyperlink" Target="https://manus.im/app/KJC6Ixn9ZFEgpriWR1GDzd" TargetMode="External"/><Relationship Id="rId50" Type="http://schemas.openxmlformats.org/officeDocument/2006/relationships/hyperlink" Target="https://manus.im/app/KJC6Ixn9ZFEgpriWR1GDzd" TargetMode="External"/><Relationship Id="rId53" Type="http://schemas.openxmlformats.org/officeDocument/2006/relationships/hyperlink" Target="https://manus.im/app/KJC6Ixn9ZFEgpriWR1GDzd" TargetMode="External"/><Relationship Id="rId52" Type="http://schemas.openxmlformats.org/officeDocument/2006/relationships/hyperlink" Target="https://manus.im/app/KJC6Ixn9ZFEgpriWR1GDzd" TargetMode="External"/><Relationship Id="rId55" Type="http://schemas.openxmlformats.org/officeDocument/2006/relationships/hyperlink" Target="https://manus.im/app/KJC6Ixn9ZFEgpriWR1GDzd" TargetMode="External"/><Relationship Id="rId54" Type="http://schemas.openxmlformats.org/officeDocument/2006/relationships/hyperlink" Target="https://manus.im/app/KJC6Ixn9ZFEgpriWR1GDzd" TargetMode="External"/><Relationship Id="rId57" Type="http://schemas.openxmlformats.org/officeDocument/2006/relationships/hyperlink" Target="https://manus.im/app/KJC6Ixn9ZFEgpriWR1GDzd" TargetMode="External"/><Relationship Id="rId56" Type="http://schemas.openxmlformats.org/officeDocument/2006/relationships/hyperlink" Target="https://manus.im/app/KJC6Ixn9ZFEgpriWR1GDzd" TargetMode="External"/><Relationship Id="rId59" Type="http://schemas.openxmlformats.org/officeDocument/2006/relationships/hyperlink" Target="https://manus.im/app/KJC6Ixn9ZFEgpriWR1GDzd" TargetMode="External"/><Relationship Id="rId58" Type="http://schemas.openxmlformats.org/officeDocument/2006/relationships/hyperlink" Target="https://manus.im/app/KJC6Ixn9ZFEgpriWR1GDzd" TargetMode="External"/></Relationships>
</file>

<file path=xl/worksheets/_rels/sheet10.xml.rels><?xml version="1.0" encoding="UTF-8" standalone="yes"?><Relationships xmlns="http://schemas.openxmlformats.org/package/2006/relationships"><Relationship Id="rId11" Type="http://schemas.openxmlformats.org/officeDocument/2006/relationships/drawing" Target="../drawings/drawing10.xml"/><Relationship Id="rId10" Type="http://schemas.openxmlformats.org/officeDocument/2006/relationships/hyperlink" Target="https://www.youtube.com/watch?v=Mupom-sgjAU&amp;list=TLGGuW2Fx0IJe4YxMDA2MjAyNQ" TargetMode="External"/><Relationship Id="rId1" Type="http://schemas.openxmlformats.org/officeDocument/2006/relationships/hyperlink" Target="https://www.youtube.com/watch?v=qEqWVNdIqKA&amp;list=TLGGTjGW-qj9EhUxMDA2MjAyNQ" TargetMode="External"/><Relationship Id="rId2" Type="http://schemas.openxmlformats.org/officeDocument/2006/relationships/hyperlink" Target="https://www.youtube.com/watch?v=qEqWVNdIqKA&amp;list=TLGGTjGW-qj9EhUxMDA2MjAyNQ" TargetMode="External"/><Relationship Id="rId3" Type="http://schemas.openxmlformats.org/officeDocument/2006/relationships/hyperlink" Target="https://www.youtube.com/watch?v=qEqWVNdIqKA&amp;list=TLGGTjGW-qj9EhUxMDA2MjAyNQ" TargetMode="External"/><Relationship Id="rId4" Type="http://schemas.openxmlformats.org/officeDocument/2006/relationships/hyperlink" Target="https://www.youtube.com/watch?v=Mupom-sgjAU&amp;list=TLGGuW2Fx0IJe4YxMDA2MjAyNQ" TargetMode="External"/><Relationship Id="rId9" Type="http://schemas.openxmlformats.org/officeDocument/2006/relationships/hyperlink" Target="https://www.youtube.com/watch?v=Mupom-sgjAU&amp;list=TLGGuW2Fx0IJe4YxMDA2MjAyNQ" TargetMode="External"/><Relationship Id="rId5" Type="http://schemas.openxmlformats.org/officeDocument/2006/relationships/hyperlink" Target="https://www.youtube.com/watch?v=Mupom-sgjAU&amp;list=TLGGuW2Fx0IJe4YxMDA2MjAyNQ" TargetMode="External"/><Relationship Id="rId6" Type="http://schemas.openxmlformats.org/officeDocument/2006/relationships/hyperlink" Target="https://www.youtube.com/watch?v=Mupom-sgjAU&amp;list=TLGGuW2Fx0IJe4YxMDA2MjAyNQ" TargetMode="External"/><Relationship Id="rId7" Type="http://schemas.openxmlformats.org/officeDocument/2006/relationships/hyperlink" Target="https://www.youtube.com/watch?v=Mupom-sgjAU&amp;list=TLGGuW2Fx0IJe4YxMDA2MjAyNQ" TargetMode="External"/><Relationship Id="rId8" Type="http://schemas.openxmlformats.org/officeDocument/2006/relationships/hyperlink" Target="https://www.youtube.com/watch?v=Mupom-sgjAU&amp;list=TLGGuW2Fx0IJe4YxMDA2MjAyNQ"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40" Type="http://schemas.openxmlformats.org/officeDocument/2006/relationships/drawing" Target="../drawings/drawing12.xml"/><Relationship Id="rId31" Type="http://schemas.openxmlformats.org/officeDocument/2006/relationships/hyperlink" Target="https://chatgpt.com/c/6846f0da-7884-8009-ad13-dba01dfa021d" TargetMode="External"/><Relationship Id="rId30" Type="http://schemas.openxmlformats.org/officeDocument/2006/relationships/hyperlink" Target="https://chatgpt.com/c/6846f0da-7884-8009-ad13-dba01dfa021d" TargetMode="External"/><Relationship Id="rId33" Type="http://schemas.openxmlformats.org/officeDocument/2006/relationships/hyperlink" Target="https://chatgpt.com/c/6846f0da-7884-8009-ad13-dba01dfa021d" TargetMode="External"/><Relationship Id="rId32" Type="http://schemas.openxmlformats.org/officeDocument/2006/relationships/hyperlink" Target="https://chatgpt.com/c/6846f0da-7884-8009-ad13-dba01dfa021d" TargetMode="External"/><Relationship Id="rId35" Type="http://schemas.openxmlformats.org/officeDocument/2006/relationships/hyperlink" Target="https://chatgpt.com/c/6846f0da-7884-8009-ad13-dba01dfa021d" TargetMode="External"/><Relationship Id="rId34" Type="http://schemas.openxmlformats.org/officeDocument/2006/relationships/hyperlink" Target="https://chatgpt.com/c/6846f0da-7884-8009-ad13-dba01dfa021d" TargetMode="External"/><Relationship Id="rId37" Type="http://schemas.openxmlformats.org/officeDocument/2006/relationships/hyperlink" Target="https://chatgpt.com/c/6846f0da-7884-8009-ad13-dba01dfa021d" TargetMode="External"/><Relationship Id="rId36" Type="http://schemas.openxmlformats.org/officeDocument/2006/relationships/hyperlink" Target="https://chatgpt.com/c/6846f0da-7884-8009-ad13-dba01dfa021d" TargetMode="External"/><Relationship Id="rId39" Type="http://schemas.openxmlformats.org/officeDocument/2006/relationships/hyperlink" Target="https://chatgpt.com/c/6846f0da-7884-8009-ad13-dba01dfa021d" TargetMode="External"/><Relationship Id="rId38" Type="http://schemas.openxmlformats.org/officeDocument/2006/relationships/hyperlink" Target="https://chatgpt.com/c/6846f0da-7884-8009-ad13-dba01dfa021d" TargetMode="External"/><Relationship Id="rId20" Type="http://schemas.openxmlformats.org/officeDocument/2006/relationships/hyperlink" Target="https://chatgpt.com/c/6846f0da-7884-8009-ad13-dba01dfa021d" TargetMode="External"/><Relationship Id="rId22" Type="http://schemas.openxmlformats.org/officeDocument/2006/relationships/hyperlink" Target="https://chatgpt.com/c/6846f0da-7884-8009-ad13-dba01dfa021d" TargetMode="External"/><Relationship Id="rId21" Type="http://schemas.openxmlformats.org/officeDocument/2006/relationships/hyperlink" Target="https://chatgpt.com/c/6846f0da-7884-8009-ad13-dba01dfa021d" TargetMode="External"/><Relationship Id="rId24" Type="http://schemas.openxmlformats.org/officeDocument/2006/relationships/hyperlink" Target="https://chatgpt.com/c/6846f0da-7884-8009-ad13-dba01dfa021d" TargetMode="External"/><Relationship Id="rId23" Type="http://schemas.openxmlformats.org/officeDocument/2006/relationships/hyperlink" Target="https://chatgpt.com/c/6846f0da-7884-8009-ad13-dba01dfa021d" TargetMode="External"/><Relationship Id="rId26" Type="http://schemas.openxmlformats.org/officeDocument/2006/relationships/hyperlink" Target="https://chatgpt.com/c/6846f0da-7884-8009-ad13-dba01dfa021d" TargetMode="External"/><Relationship Id="rId25" Type="http://schemas.openxmlformats.org/officeDocument/2006/relationships/hyperlink" Target="https://chatgpt.com/c/6846f0da-7884-8009-ad13-dba01dfa021d" TargetMode="External"/><Relationship Id="rId28" Type="http://schemas.openxmlformats.org/officeDocument/2006/relationships/hyperlink" Target="https://chatgpt.com/c/6846f0da-7884-8009-ad13-dba01dfa021d" TargetMode="External"/><Relationship Id="rId27" Type="http://schemas.openxmlformats.org/officeDocument/2006/relationships/hyperlink" Target="https://chatgpt.com/c/6846f0da-7884-8009-ad13-dba01dfa021d" TargetMode="External"/><Relationship Id="rId29" Type="http://schemas.openxmlformats.org/officeDocument/2006/relationships/hyperlink" Target="https://chatgpt.com/c/6846f0da-7884-8009-ad13-dba01dfa021d" TargetMode="External"/><Relationship Id="rId11" Type="http://schemas.openxmlformats.org/officeDocument/2006/relationships/hyperlink" Target="https://chatgpt.com/c/6846f0da-7884-8009-ad13-dba01dfa021d" TargetMode="External"/><Relationship Id="rId10" Type="http://schemas.openxmlformats.org/officeDocument/2006/relationships/hyperlink" Target="https://chatgpt.com/c/6846f0da-7884-8009-ad13-dba01dfa021d" TargetMode="External"/><Relationship Id="rId13" Type="http://schemas.openxmlformats.org/officeDocument/2006/relationships/hyperlink" Target="https://chatgpt.com/c/6846f0da-7884-8009-ad13-dba01dfa021d" TargetMode="External"/><Relationship Id="rId12" Type="http://schemas.openxmlformats.org/officeDocument/2006/relationships/hyperlink" Target="https://chatgpt.com/c/6846f0da-7884-8009-ad13-dba01dfa021d" TargetMode="External"/><Relationship Id="rId15" Type="http://schemas.openxmlformats.org/officeDocument/2006/relationships/hyperlink" Target="https://chatgpt.com/c/6846f0da-7884-8009-ad13-dba01dfa021d" TargetMode="External"/><Relationship Id="rId14" Type="http://schemas.openxmlformats.org/officeDocument/2006/relationships/hyperlink" Target="https://chatgpt.com/c/6846f0da-7884-8009-ad13-dba01dfa021d" TargetMode="External"/><Relationship Id="rId17" Type="http://schemas.openxmlformats.org/officeDocument/2006/relationships/hyperlink" Target="https://chatgpt.com/c/6846f0da-7884-8009-ad13-dba01dfa021d" TargetMode="External"/><Relationship Id="rId16" Type="http://schemas.openxmlformats.org/officeDocument/2006/relationships/hyperlink" Target="https://chatgpt.com/c/6846f0da-7884-8009-ad13-dba01dfa021d" TargetMode="External"/><Relationship Id="rId19" Type="http://schemas.openxmlformats.org/officeDocument/2006/relationships/hyperlink" Target="https://chatgpt.com/c/6846f0da-7884-8009-ad13-dba01dfa021d" TargetMode="External"/><Relationship Id="rId18" Type="http://schemas.openxmlformats.org/officeDocument/2006/relationships/hyperlink" Target="https://chatgpt.com/c/6846f0da-7884-8009-ad13-dba01dfa021d" TargetMode="External"/><Relationship Id="rId1" Type="http://schemas.openxmlformats.org/officeDocument/2006/relationships/hyperlink" Target="https://chatgpt.com/c/6846f0da-7884-8009-ad13-dba01dfa021d" TargetMode="External"/><Relationship Id="rId2" Type="http://schemas.openxmlformats.org/officeDocument/2006/relationships/hyperlink" Target="https://chatgpt.com/c/6846f0da-7884-8009-ad13-dba01dfa021d" TargetMode="External"/><Relationship Id="rId3" Type="http://schemas.openxmlformats.org/officeDocument/2006/relationships/hyperlink" Target="https://chatgpt.com/c/6846f0da-7884-8009-ad13-dba01dfa021d" TargetMode="External"/><Relationship Id="rId4" Type="http://schemas.openxmlformats.org/officeDocument/2006/relationships/hyperlink" Target="https://chatgpt.com/c/6846f0da-7884-8009-ad13-dba01dfa021d" TargetMode="External"/><Relationship Id="rId9" Type="http://schemas.openxmlformats.org/officeDocument/2006/relationships/hyperlink" Target="https://chatgpt.com/c/6846f0da-7884-8009-ad13-dba01dfa021d" TargetMode="External"/><Relationship Id="rId5" Type="http://schemas.openxmlformats.org/officeDocument/2006/relationships/hyperlink" Target="https://chatgpt.com/c/6846f0da-7884-8009-ad13-dba01dfa021d" TargetMode="External"/><Relationship Id="rId6" Type="http://schemas.openxmlformats.org/officeDocument/2006/relationships/hyperlink" Target="https://chatgpt.com/c/6846f0da-7884-8009-ad13-dba01dfa021d" TargetMode="External"/><Relationship Id="rId7" Type="http://schemas.openxmlformats.org/officeDocument/2006/relationships/hyperlink" Target="https://chatgpt.com/c/6846f0da-7884-8009-ad13-dba01dfa021d" TargetMode="External"/><Relationship Id="rId8" Type="http://schemas.openxmlformats.org/officeDocument/2006/relationships/hyperlink" Target="https://chatgpt.com/c/6846f0da-7884-8009-ad13-dba01dfa021d" TargetMode="External"/></Relationships>
</file>

<file path=xl/worksheets/_rels/sheet13.xml.rels><?xml version="1.0" encoding="UTF-8" standalone="yes"?><Relationships xmlns="http://schemas.openxmlformats.org/package/2006/relationships"><Relationship Id="rId31" Type="http://schemas.openxmlformats.org/officeDocument/2006/relationships/hyperlink" Target="https://chatgpt.com/c/6846f0da-7884-8009-ad13-dba01dfa021d" TargetMode="External"/><Relationship Id="rId30" Type="http://schemas.openxmlformats.org/officeDocument/2006/relationships/hyperlink" Target="https://chatgpt.com/c/6846f0da-7884-8009-ad13-dba01dfa021d" TargetMode="External"/><Relationship Id="rId33" Type="http://schemas.openxmlformats.org/officeDocument/2006/relationships/hyperlink" Target="https://chatgpt.com/c/6846f0da-7884-8009-ad13-dba01dfa021d" TargetMode="External"/><Relationship Id="rId32" Type="http://schemas.openxmlformats.org/officeDocument/2006/relationships/hyperlink" Target="https://chatgpt.com/c/6846f0da-7884-8009-ad13-dba01dfa021d" TargetMode="External"/><Relationship Id="rId35" Type="http://schemas.openxmlformats.org/officeDocument/2006/relationships/drawing" Target="../drawings/drawing13.xml"/><Relationship Id="rId34" Type="http://schemas.openxmlformats.org/officeDocument/2006/relationships/hyperlink" Target="https://chatgpt.com/c/6846f0da-7884-8009-ad13-dba01dfa021d" TargetMode="External"/><Relationship Id="rId20" Type="http://schemas.openxmlformats.org/officeDocument/2006/relationships/hyperlink" Target="https://chatgpt.com/c/6846f0da-7884-8009-ad13-dba01dfa021d" TargetMode="External"/><Relationship Id="rId22" Type="http://schemas.openxmlformats.org/officeDocument/2006/relationships/hyperlink" Target="https://chatgpt.com/c/6846f0da-7884-8009-ad13-dba01dfa021d" TargetMode="External"/><Relationship Id="rId21" Type="http://schemas.openxmlformats.org/officeDocument/2006/relationships/hyperlink" Target="https://chatgpt.com/c/6846f0da-7884-8009-ad13-dba01dfa021d" TargetMode="External"/><Relationship Id="rId24" Type="http://schemas.openxmlformats.org/officeDocument/2006/relationships/hyperlink" Target="https://chatgpt.com/c/6846f0da-7884-8009-ad13-dba01dfa021d" TargetMode="External"/><Relationship Id="rId23" Type="http://schemas.openxmlformats.org/officeDocument/2006/relationships/hyperlink" Target="https://chatgpt.com/c/6846f0da-7884-8009-ad13-dba01dfa021d" TargetMode="External"/><Relationship Id="rId26" Type="http://schemas.openxmlformats.org/officeDocument/2006/relationships/hyperlink" Target="https://chatgpt.com/c/6846f0da-7884-8009-ad13-dba01dfa021d" TargetMode="External"/><Relationship Id="rId25" Type="http://schemas.openxmlformats.org/officeDocument/2006/relationships/hyperlink" Target="https://chatgpt.com/c/6846f0da-7884-8009-ad13-dba01dfa021d" TargetMode="External"/><Relationship Id="rId28" Type="http://schemas.openxmlformats.org/officeDocument/2006/relationships/hyperlink" Target="https://chatgpt.com/c/6846f0da-7884-8009-ad13-dba01dfa021d" TargetMode="External"/><Relationship Id="rId27" Type="http://schemas.openxmlformats.org/officeDocument/2006/relationships/hyperlink" Target="https://chatgpt.com/c/6846f0da-7884-8009-ad13-dba01dfa021d" TargetMode="External"/><Relationship Id="rId29" Type="http://schemas.openxmlformats.org/officeDocument/2006/relationships/hyperlink" Target="https://chatgpt.com/c/6846f0da-7884-8009-ad13-dba01dfa021d" TargetMode="External"/><Relationship Id="rId11" Type="http://schemas.openxmlformats.org/officeDocument/2006/relationships/hyperlink" Target="https://chatgpt.com/c/6846f0da-7884-8009-ad13-dba01dfa021d" TargetMode="External"/><Relationship Id="rId10" Type="http://schemas.openxmlformats.org/officeDocument/2006/relationships/hyperlink" Target="https://chatgpt.com/c/6846f0da-7884-8009-ad13-dba01dfa021d" TargetMode="External"/><Relationship Id="rId13" Type="http://schemas.openxmlformats.org/officeDocument/2006/relationships/hyperlink" Target="https://chatgpt.com/c/6846f0da-7884-8009-ad13-dba01dfa021d" TargetMode="External"/><Relationship Id="rId12" Type="http://schemas.openxmlformats.org/officeDocument/2006/relationships/hyperlink" Target="https://chatgpt.com/c/6846f0da-7884-8009-ad13-dba01dfa021d" TargetMode="External"/><Relationship Id="rId15" Type="http://schemas.openxmlformats.org/officeDocument/2006/relationships/hyperlink" Target="https://chatgpt.com/c/6846f0da-7884-8009-ad13-dba01dfa021d" TargetMode="External"/><Relationship Id="rId14" Type="http://schemas.openxmlformats.org/officeDocument/2006/relationships/hyperlink" Target="https://chatgpt.com/c/6846f0da-7884-8009-ad13-dba01dfa021d" TargetMode="External"/><Relationship Id="rId17" Type="http://schemas.openxmlformats.org/officeDocument/2006/relationships/hyperlink" Target="https://chatgpt.com/c/6846f0da-7884-8009-ad13-dba01dfa021d" TargetMode="External"/><Relationship Id="rId16" Type="http://schemas.openxmlformats.org/officeDocument/2006/relationships/hyperlink" Target="https://chatgpt.com/c/6846f0da-7884-8009-ad13-dba01dfa021d" TargetMode="External"/><Relationship Id="rId19" Type="http://schemas.openxmlformats.org/officeDocument/2006/relationships/hyperlink" Target="https://chatgpt.com/c/6846f0da-7884-8009-ad13-dba01dfa021d" TargetMode="External"/><Relationship Id="rId18" Type="http://schemas.openxmlformats.org/officeDocument/2006/relationships/hyperlink" Target="https://chatgpt.com/c/6846f0da-7884-8009-ad13-dba01dfa021d" TargetMode="External"/><Relationship Id="rId1" Type="http://schemas.openxmlformats.org/officeDocument/2006/relationships/hyperlink" Target="https://chatgpt.com/c/6846f0da-7884-8009-ad13-dba01dfa021d" TargetMode="External"/><Relationship Id="rId2" Type="http://schemas.openxmlformats.org/officeDocument/2006/relationships/hyperlink" Target="https://chatgpt.com/c/6846f0da-7884-8009-ad13-dba01dfa021d" TargetMode="External"/><Relationship Id="rId3" Type="http://schemas.openxmlformats.org/officeDocument/2006/relationships/hyperlink" Target="https://chatgpt.com/c/6846f0da-7884-8009-ad13-dba01dfa021d" TargetMode="External"/><Relationship Id="rId4" Type="http://schemas.openxmlformats.org/officeDocument/2006/relationships/hyperlink" Target="https://chatgpt.com/c/6846f0da-7884-8009-ad13-dba01dfa021d" TargetMode="External"/><Relationship Id="rId9" Type="http://schemas.openxmlformats.org/officeDocument/2006/relationships/hyperlink" Target="https://chatgpt.com/c/6846f0da-7884-8009-ad13-dba01dfa021d" TargetMode="External"/><Relationship Id="rId5" Type="http://schemas.openxmlformats.org/officeDocument/2006/relationships/hyperlink" Target="https://chatgpt.com/c/6846f0da-7884-8009-ad13-dba01dfa021d" TargetMode="External"/><Relationship Id="rId6" Type="http://schemas.openxmlformats.org/officeDocument/2006/relationships/hyperlink" Target="https://chatgpt.com/c/6846f0da-7884-8009-ad13-dba01dfa021d" TargetMode="External"/><Relationship Id="rId7" Type="http://schemas.openxmlformats.org/officeDocument/2006/relationships/hyperlink" Target="https://chatgpt.com/c/6846f0da-7884-8009-ad13-dba01dfa021d" TargetMode="External"/><Relationship Id="rId8" Type="http://schemas.openxmlformats.org/officeDocument/2006/relationships/hyperlink" Target="https://chatgpt.com/c/6846f0da-7884-8009-ad13-dba01dfa021d"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1" Type="http://schemas.openxmlformats.org/officeDocument/2006/relationships/hyperlink" Target="https://manus.im/app/BW91CbS2mKciOf4E3b3a3o" TargetMode="External"/><Relationship Id="rId10" Type="http://schemas.openxmlformats.org/officeDocument/2006/relationships/hyperlink" Target="https://manus.im/app/BW91CbS2mKciOf4E3b3a3o" TargetMode="External"/><Relationship Id="rId13" Type="http://schemas.openxmlformats.org/officeDocument/2006/relationships/hyperlink" Target="https://manus.im/app/BW91CbS2mKciOf4E3b3a3o" TargetMode="External"/><Relationship Id="rId12" Type="http://schemas.openxmlformats.org/officeDocument/2006/relationships/hyperlink" Target="https://manus.im/app/BW91CbS2mKciOf4E3b3a3o" TargetMode="External"/><Relationship Id="rId15" Type="http://schemas.openxmlformats.org/officeDocument/2006/relationships/hyperlink" Target="https://manus.im/app/BW91CbS2mKciOf4E3b3a3o" TargetMode="External"/><Relationship Id="rId14" Type="http://schemas.openxmlformats.org/officeDocument/2006/relationships/hyperlink" Target="https://manus.im/app/BW91CbS2mKciOf4E3b3a3o" TargetMode="External"/><Relationship Id="rId17" Type="http://schemas.openxmlformats.org/officeDocument/2006/relationships/hyperlink" Target="https://manus.im/app/BW91CbS2mKciOf4E3b3a3o" TargetMode="External"/><Relationship Id="rId16" Type="http://schemas.openxmlformats.org/officeDocument/2006/relationships/hyperlink" Target="https://manus.im/app/BW91CbS2mKciOf4E3b3a3o" TargetMode="External"/><Relationship Id="rId19" Type="http://schemas.openxmlformats.org/officeDocument/2006/relationships/drawing" Target="../drawings/drawing15.xml"/><Relationship Id="rId18" Type="http://schemas.openxmlformats.org/officeDocument/2006/relationships/hyperlink" Target="https://manus.im/app/BW91CbS2mKciOf4E3b3a3o" TargetMode="External"/><Relationship Id="rId1" Type="http://schemas.openxmlformats.org/officeDocument/2006/relationships/hyperlink" Target="https://manus.im/app/BW91CbS2mKciOf4E3b3a3o" TargetMode="External"/><Relationship Id="rId2" Type="http://schemas.openxmlformats.org/officeDocument/2006/relationships/hyperlink" Target="https://manus.im/app/BW91CbS2mKciOf4E3b3a3o" TargetMode="External"/><Relationship Id="rId3" Type="http://schemas.openxmlformats.org/officeDocument/2006/relationships/hyperlink" Target="https://manus.im/app/BW91CbS2mKciOf4E3b3a3o" TargetMode="External"/><Relationship Id="rId4" Type="http://schemas.openxmlformats.org/officeDocument/2006/relationships/hyperlink" Target="https://manus.im/app/BW91CbS2mKciOf4E3b3a3o" TargetMode="External"/><Relationship Id="rId9" Type="http://schemas.openxmlformats.org/officeDocument/2006/relationships/hyperlink" Target="https://manus.im/app/BW91CbS2mKciOf4E3b3a3o" TargetMode="External"/><Relationship Id="rId5" Type="http://schemas.openxmlformats.org/officeDocument/2006/relationships/hyperlink" Target="https://manus.im/app/BW91CbS2mKciOf4E3b3a3o" TargetMode="External"/><Relationship Id="rId6" Type="http://schemas.openxmlformats.org/officeDocument/2006/relationships/hyperlink" Target="https://manus.im/app/BW91CbS2mKciOf4E3b3a3o" TargetMode="External"/><Relationship Id="rId7" Type="http://schemas.openxmlformats.org/officeDocument/2006/relationships/hyperlink" Target="https://manus.im/app/BW91CbS2mKciOf4E3b3a3o" TargetMode="External"/><Relationship Id="rId8" Type="http://schemas.openxmlformats.org/officeDocument/2006/relationships/hyperlink" Target="https://manus.im/app/BW91CbS2mKciOf4E3b3a3o"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91.25"/>
    <col customWidth="1" min="3" max="3" width="31.63"/>
    <col customWidth="1" min="4" max="4" width="17.0"/>
  </cols>
  <sheetData>
    <row r="1">
      <c r="A1" s="1" t="s">
        <v>0</v>
      </c>
      <c r="B1" s="1" t="s">
        <v>1</v>
      </c>
      <c r="C1" s="2" t="s">
        <v>2</v>
      </c>
      <c r="E1" s="3" t="s">
        <v>3</v>
      </c>
    </row>
    <row r="2" ht="34.5" customHeight="1">
      <c r="A2" s="4">
        <v>45897.0</v>
      </c>
      <c r="B2" s="5" t="s">
        <v>4</v>
      </c>
      <c r="C2" s="6" t="s">
        <v>5</v>
      </c>
    </row>
    <row r="3">
      <c r="A3" s="7">
        <f t="shared" ref="A3:A13" si="1">A2+1</f>
        <v>45898</v>
      </c>
      <c r="B3" s="8" t="s">
        <v>6</v>
      </c>
      <c r="C3" s="6" t="s">
        <v>7</v>
      </c>
      <c r="D3" s="6" t="s">
        <v>8</v>
      </c>
    </row>
    <row r="4">
      <c r="A4" s="7">
        <f t="shared" si="1"/>
        <v>45899</v>
      </c>
      <c r="B4" s="8" t="s">
        <v>9</v>
      </c>
      <c r="C4" s="6" t="s">
        <v>10</v>
      </c>
    </row>
    <row r="5">
      <c r="A5" s="7">
        <f t="shared" si="1"/>
        <v>45900</v>
      </c>
      <c r="B5" s="8" t="s">
        <v>11</v>
      </c>
      <c r="E5" s="9" t="s">
        <v>12</v>
      </c>
    </row>
    <row r="6">
      <c r="A6" s="7">
        <f t="shared" si="1"/>
        <v>45901</v>
      </c>
      <c r="B6" s="8" t="s">
        <v>13</v>
      </c>
      <c r="C6" s="6" t="s">
        <v>14</v>
      </c>
    </row>
    <row r="7">
      <c r="A7" s="7">
        <f t="shared" si="1"/>
        <v>45902</v>
      </c>
      <c r="B7" s="8" t="s">
        <v>15</v>
      </c>
      <c r="C7" s="10" t="s">
        <v>16</v>
      </c>
    </row>
    <row r="8">
      <c r="A8" s="7">
        <f t="shared" si="1"/>
        <v>45903</v>
      </c>
      <c r="B8" s="8" t="s">
        <v>17</v>
      </c>
      <c r="C8" s="6" t="s">
        <v>18</v>
      </c>
    </row>
    <row r="9">
      <c r="A9" s="7">
        <f t="shared" si="1"/>
        <v>45904</v>
      </c>
      <c r="B9" s="8" t="s">
        <v>19</v>
      </c>
      <c r="C9" s="6" t="s">
        <v>20</v>
      </c>
      <c r="D9" s="9" t="s">
        <v>21</v>
      </c>
      <c r="F9" s="9" t="s">
        <v>22</v>
      </c>
    </row>
    <row r="10">
      <c r="A10" s="7">
        <f t="shared" si="1"/>
        <v>45905</v>
      </c>
      <c r="B10" s="8" t="s">
        <v>23</v>
      </c>
      <c r="C10" s="6" t="s">
        <v>24</v>
      </c>
    </row>
    <row r="11">
      <c r="A11" s="7">
        <f t="shared" si="1"/>
        <v>45906</v>
      </c>
      <c r="B11" s="8" t="s">
        <v>25</v>
      </c>
      <c r="C11" s="6" t="s">
        <v>26</v>
      </c>
    </row>
    <row r="12">
      <c r="A12" s="7">
        <f t="shared" si="1"/>
        <v>45907</v>
      </c>
      <c r="B12" s="8" t="s">
        <v>27</v>
      </c>
      <c r="C12" s="6" t="s">
        <v>28</v>
      </c>
    </row>
    <row r="13">
      <c r="A13" s="7">
        <f t="shared" si="1"/>
        <v>45908</v>
      </c>
      <c r="B13" s="5" t="s">
        <v>29</v>
      </c>
    </row>
    <row r="14" ht="34.5" customHeight="1">
      <c r="A14" s="11"/>
      <c r="B14" s="5"/>
    </row>
    <row r="17">
      <c r="B17" s="9" t="s">
        <v>30</v>
      </c>
    </row>
  </sheetData>
  <hyperlinks>
    <hyperlink r:id="rId2" ref="C2"/>
    <hyperlink r:id="rId3" location="inbox/FMfcgzQcpTJzZXJmMPFMjdxVGHRvxRxJ" ref="B3"/>
    <hyperlink r:id="rId4" ref="C3"/>
    <hyperlink display="Dinner Options:&#10;Palazzo Petrucci&#10;Ristorante Il Miracolo dei Pesci&#10;Ristorante Reginella&#10;La Scialuppa&#10;50 kalo" location="Chiaia!A1" ref="D3"/>
    <hyperlink r:id="rId5" ref="B4"/>
    <hyperlink r:id="rId6" ref="C4"/>
    <hyperlink r:id="rId7" ref="B5"/>
    <hyperlink r:id="rId8" location="inbox/FMfcgzQbfpCGnGbhxdJmLCZCQxGhpTdJ" ref="B6"/>
    <hyperlink r:id="rId9" ref="C6"/>
    <hyperlink r:id="rId10" ref="B7"/>
    <hyperlink r:id="rId11" location="inbox/FMfcgzQbfpCGnHjwsvSDLbKCnQTKzKlZ" ref="B8"/>
    <hyperlink r:id="rId12" ref="C8"/>
    <hyperlink r:id="rId13" location="inbox/FMfcgzQbfxgcDJFRWXGMpZHBQpSxjWpp" ref="B9"/>
    <hyperlink display="Dinner: Casual nearby options" location="'Positano Night 1 Restaurants'!A1" ref="C9"/>
    <hyperlink r:id="rId14" location="inbox/FMfcgzQbgJHdRqlGkJjcppzjkBdzpZlZ" ref="B10"/>
    <hyperlink r:id="rId15" ref="C10"/>
    <hyperlink r:id="rId16" location="inbox/FMfcgzQbgJHdRnVDlKqWgsVlqVkCHnfm" ref="B11"/>
    <hyperlink r:id="rId17" ref="C11"/>
    <hyperlink r:id="rId18" location="inbox/FMfcgzQcpTJzQLqGzBjZzbVczzRBCmQf" ref="B12"/>
    <hyperlink r:id="rId19" ref="C12"/>
  </hyperlinks>
  <printOptions gridLines="1" horizontalCentered="1"/>
  <pageMargins bottom="0.75" footer="0.0" header="0.0" left="0.7" right="0.7" top="0.75"/>
  <pageSetup fitToHeight="0" cellComments="atEnd" orientation="landscape" pageOrder="overThenDown"/>
  <drawing r:id="rId20"/>
  <legacy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31</v>
      </c>
    </row>
    <row r="2">
      <c r="A2" s="6" t="s">
        <v>32</v>
      </c>
    </row>
    <row r="3">
      <c r="A3" s="6" t="s">
        <v>33</v>
      </c>
    </row>
  </sheetData>
  <hyperlinks>
    <hyperlink r:id="rId1" ref="A1"/>
    <hyperlink r:id="rId2" ref="A2"/>
    <hyperlink r:id="rId3" ref="A3"/>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1.63"/>
    <col customWidth="1" min="6" max="6" width="22.0"/>
    <col hidden="1" min="9" max="12" width="12.63"/>
    <col customWidth="1" hidden="1" min="13" max="13" width="25.5"/>
    <col hidden="1" min="14" max="17" width="12.63"/>
    <col customWidth="1" hidden="1" min="18" max="18" width="21.25"/>
    <col hidden="1" min="19" max="20" width="12.63"/>
    <col customWidth="1" min="22" max="22" width="18.0"/>
  </cols>
  <sheetData>
    <row r="1">
      <c r="A1" s="12">
        <v>45817.0</v>
      </c>
      <c r="B1" s="6" t="s">
        <v>34</v>
      </c>
      <c r="E1" s="9" t="s">
        <v>35</v>
      </c>
      <c r="F1" s="9" t="s">
        <v>36</v>
      </c>
      <c r="G1" s="9" t="s">
        <v>37</v>
      </c>
      <c r="I1" s="9" t="s">
        <v>38</v>
      </c>
      <c r="J1" s="9" t="s">
        <v>37</v>
      </c>
      <c r="M1" s="9" t="s">
        <v>39</v>
      </c>
      <c r="R1" s="9" t="s">
        <v>40</v>
      </c>
      <c r="V1" s="3" t="s">
        <v>41</v>
      </c>
      <c r="W1" s="9" t="s">
        <v>42</v>
      </c>
    </row>
    <row r="2">
      <c r="A2" s="13">
        <v>45817.0</v>
      </c>
      <c r="B2" s="6" t="s">
        <v>43</v>
      </c>
      <c r="E2" s="9" t="s">
        <v>44</v>
      </c>
      <c r="F2" s="6" t="s">
        <v>45</v>
      </c>
      <c r="G2" s="14" t="s">
        <v>46</v>
      </c>
      <c r="I2" s="9" t="s">
        <v>47</v>
      </c>
      <c r="M2" s="6" t="s">
        <v>48</v>
      </c>
      <c r="N2" s="9">
        <v>3071.0</v>
      </c>
      <c r="O2" s="9" t="s">
        <v>49</v>
      </c>
      <c r="Q2" s="9" t="s">
        <v>50</v>
      </c>
      <c r="R2" s="9" t="s">
        <v>51</v>
      </c>
      <c r="S2" s="9" t="s">
        <v>52</v>
      </c>
      <c r="V2" s="9" t="s">
        <v>53</v>
      </c>
      <c r="W2" s="9" t="s">
        <v>54</v>
      </c>
    </row>
    <row r="3">
      <c r="A3" s="13">
        <v>45818.0</v>
      </c>
      <c r="B3" s="6" t="s">
        <v>55</v>
      </c>
      <c r="E3" s="9" t="s">
        <v>56</v>
      </c>
      <c r="F3" s="6" t="s">
        <v>57</v>
      </c>
      <c r="G3" s="15" t="s">
        <v>58</v>
      </c>
      <c r="L3" s="9" t="s">
        <v>59</v>
      </c>
      <c r="M3" s="6" t="s">
        <v>60</v>
      </c>
      <c r="N3" s="9">
        <v>2883.0</v>
      </c>
      <c r="Q3" s="9" t="s">
        <v>61</v>
      </c>
      <c r="R3" s="6" t="s">
        <v>62</v>
      </c>
      <c r="S3" s="9" t="s">
        <v>63</v>
      </c>
      <c r="T3" s="9" t="s">
        <v>64</v>
      </c>
      <c r="V3" s="9" t="s">
        <v>65</v>
      </c>
      <c r="W3" s="9" t="s">
        <v>66</v>
      </c>
    </row>
    <row r="4">
      <c r="A4" s="13">
        <v>45817.0</v>
      </c>
      <c r="B4" s="6" t="s">
        <v>67</v>
      </c>
      <c r="E4" s="9" t="s">
        <v>68</v>
      </c>
      <c r="F4" s="16" t="s">
        <v>69</v>
      </c>
      <c r="L4" s="3" t="s">
        <v>70</v>
      </c>
      <c r="M4" s="6" t="s">
        <v>71</v>
      </c>
      <c r="N4" s="9">
        <v>4398.0</v>
      </c>
      <c r="O4" s="9" t="s">
        <v>72</v>
      </c>
      <c r="Q4" s="9" t="s">
        <v>61</v>
      </c>
      <c r="R4" s="6" t="s">
        <v>73</v>
      </c>
      <c r="V4" s="9" t="s">
        <v>74</v>
      </c>
      <c r="W4" s="9" t="s">
        <v>75</v>
      </c>
    </row>
    <row r="5">
      <c r="A5" s="13">
        <v>45813.0</v>
      </c>
      <c r="B5" s="6" t="s">
        <v>76</v>
      </c>
      <c r="F5" s="6" t="s">
        <v>77</v>
      </c>
      <c r="G5" s="17" t="s">
        <v>78</v>
      </c>
      <c r="L5" s="9" t="s">
        <v>79</v>
      </c>
      <c r="M5" s="6" t="s">
        <v>80</v>
      </c>
      <c r="N5" s="9">
        <v>1833.0</v>
      </c>
      <c r="Q5" s="9" t="s">
        <v>61</v>
      </c>
      <c r="R5" s="6" t="s">
        <v>81</v>
      </c>
      <c r="W5" s="9" t="s">
        <v>82</v>
      </c>
    </row>
    <row r="6">
      <c r="A6" s="13">
        <v>45817.0</v>
      </c>
      <c r="B6" s="6" t="s">
        <v>83</v>
      </c>
      <c r="F6" s="6" t="s">
        <v>84</v>
      </c>
      <c r="G6" s="17" t="s">
        <v>78</v>
      </c>
      <c r="L6" s="9" t="s">
        <v>85</v>
      </c>
      <c r="M6" s="6" t="s">
        <v>86</v>
      </c>
      <c r="N6" s="9">
        <v>3584.0</v>
      </c>
      <c r="O6" s="9" t="s">
        <v>87</v>
      </c>
      <c r="Q6" s="9" t="s">
        <v>61</v>
      </c>
      <c r="R6" s="6" t="s">
        <v>88</v>
      </c>
      <c r="W6" s="9" t="s">
        <v>89</v>
      </c>
    </row>
    <row r="7">
      <c r="A7" s="13">
        <v>45817.0</v>
      </c>
      <c r="B7" s="6" t="s">
        <v>5</v>
      </c>
      <c r="F7" s="6" t="s">
        <v>90</v>
      </c>
      <c r="G7" s="17" t="s">
        <v>91</v>
      </c>
      <c r="L7" s="3" t="s">
        <v>92</v>
      </c>
      <c r="M7" s="18" t="s">
        <v>93</v>
      </c>
      <c r="N7" s="9">
        <v>3875.0</v>
      </c>
      <c r="O7" s="9" t="s">
        <v>94</v>
      </c>
      <c r="Q7" s="9" t="s">
        <v>61</v>
      </c>
      <c r="R7" s="18" t="s">
        <v>95</v>
      </c>
      <c r="W7" s="9" t="s">
        <v>96</v>
      </c>
    </row>
    <row r="8">
      <c r="A8" s="13">
        <v>45818.0</v>
      </c>
      <c r="B8" s="6" t="s">
        <v>97</v>
      </c>
      <c r="F8" s="6" t="s">
        <v>98</v>
      </c>
      <c r="G8" s="17" t="s">
        <v>99</v>
      </c>
      <c r="L8" s="3" t="s">
        <v>100</v>
      </c>
      <c r="M8" s="6" t="s">
        <v>101</v>
      </c>
      <c r="N8" s="9">
        <v>3702.0</v>
      </c>
      <c r="O8" s="6" t="s">
        <v>102</v>
      </c>
      <c r="Q8" s="9" t="s">
        <v>61</v>
      </c>
      <c r="R8" s="6" t="s">
        <v>103</v>
      </c>
      <c r="W8" s="9" t="s">
        <v>104</v>
      </c>
    </row>
    <row r="9">
      <c r="F9" s="3" t="s">
        <v>105</v>
      </c>
      <c r="M9" s="6" t="s">
        <v>106</v>
      </c>
      <c r="Q9" s="9" t="s">
        <v>61</v>
      </c>
      <c r="R9" s="6" t="s">
        <v>107</v>
      </c>
      <c r="S9" s="9" t="s">
        <v>108</v>
      </c>
      <c r="W9" s="9" t="s">
        <v>109</v>
      </c>
    </row>
    <row r="10">
      <c r="F10" s="9" t="s">
        <v>110</v>
      </c>
      <c r="G10" s="17" t="s">
        <v>111</v>
      </c>
      <c r="J10" s="9" t="s">
        <v>112</v>
      </c>
      <c r="L10" s="9" t="s">
        <v>113</v>
      </c>
      <c r="M10" s="6" t="s">
        <v>114</v>
      </c>
      <c r="N10" s="9">
        <v>4065.0</v>
      </c>
      <c r="Q10" s="9" t="s">
        <v>61</v>
      </c>
      <c r="R10" s="18" t="s">
        <v>81</v>
      </c>
      <c r="S10" s="9" t="s">
        <v>115</v>
      </c>
      <c r="W10" s="9" t="s">
        <v>116</v>
      </c>
    </row>
    <row r="11">
      <c r="B11" s="9" t="s">
        <v>117</v>
      </c>
      <c r="D11" s="3" t="s">
        <v>118</v>
      </c>
      <c r="F11" s="9" t="s">
        <v>119</v>
      </c>
      <c r="I11" s="9" t="s">
        <v>120</v>
      </c>
      <c r="J11" s="9" t="s">
        <v>121</v>
      </c>
      <c r="L11" s="9" t="s">
        <v>122</v>
      </c>
      <c r="M11" s="6" t="s">
        <v>123</v>
      </c>
      <c r="N11" s="9">
        <v>4685.0</v>
      </c>
      <c r="Q11" s="9" t="s">
        <v>61</v>
      </c>
      <c r="R11" s="9" t="s">
        <v>124</v>
      </c>
      <c r="S11" s="9" t="s">
        <v>125</v>
      </c>
      <c r="W11" s="9" t="s">
        <v>126</v>
      </c>
    </row>
    <row r="12">
      <c r="B12" s="6" t="s">
        <v>127</v>
      </c>
      <c r="D12" s="9" t="s">
        <v>54</v>
      </c>
      <c r="F12" s="6" t="s">
        <v>128</v>
      </c>
      <c r="I12" s="9" t="s">
        <v>120</v>
      </c>
      <c r="J12" s="9" t="s">
        <v>129</v>
      </c>
      <c r="L12" s="9" t="s">
        <v>130</v>
      </c>
      <c r="M12" s="6" t="s">
        <v>131</v>
      </c>
      <c r="N12" s="9">
        <v>1194.0</v>
      </c>
      <c r="W12" s="9" t="s">
        <v>132</v>
      </c>
    </row>
    <row r="13">
      <c r="B13" s="9" t="s">
        <v>133</v>
      </c>
      <c r="D13" s="9" t="s">
        <v>134</v>
      </c>
      <c r="F13" s="3" t="s">
        <v>135</v>
      </c>
      <c r="G13" s="17" t="s">
        <v>136</v>
      </c>
      <c r="I13" s="9" t="s">
        <v>120</v>
      </c>
      <c r="J13" s="9" t="s">
        <v>137</v>
      </c>
      <c r="M13" s="6" t="s">
        <v>138</v>
      </c>
      <c r="N13" s="9">
        <v>10237.0</v>
      </c>
    </row>
    <row r="14">
      <c r="B14" s="9" t="s">
        <v>139</v>
      </c>
      <c r="D14" s="9" t="s">
        <v>140</v>
      </c>
      <c r="F14" s="9" t="s">
        <v>141</v>
      </c>
      <c r="I14" s="9" t="s">
        <v>120</v>
      </c>
      <c r="J14" s="9" t="s">
        <v>142</v>
      </c>
      <c r="M14" s="6" t="s">
        <v>143</v>
      </c>
    </row>
    <row r="15">
      <c r="B15" s="9" t="s">
        <v>144</v>
      </c>
      <c r="D15" s="9" t="s">
        <v>145</v>
      </c>
      <c r="F15" s="6" t="s">
        <v>146</v>
      </c>
      <c r="G15" s="17" t="s">
        <v>147</v>
      </c>
      <c r="I15" s="9" t="s">
        <v>120</v>
      </c>
      <c r="J15" s="9" t="s">
        <v>148</v>
      </c>
      <c r="M15" s="6" t="s">
        <v>149</v>
      </c>
      <c r="O15" s="6" t="s">
        <v>150</v>
      </c>
    </row>
    <row r="16">
      <c r="D16" s="9" t="s">
        <v>151</v>
      </c>
      <c r="F16" s="6" t="s">
        <v>152</v>
      </c>
      <c r="I16" s="9" t="s">
        <v>120</v>
      </c>
      <c r="J16" s="9" t="s">
        <v>153</v>
      </c>
      <c r="K16" s="6" t="s">
        <v>154</v>
      </c>
      <c r="M16" s="18" t="s">
        <v>155</v>
      </c>
    </row>
    <row r="17">
      <c r="D17" s="9" t="s">
        <v>156</v>
      </c>
      <c r="F17" s="3" t="s">
        <v>157</v>
      </c>
      <c r="J17" s="9" t="s">
        <v>158</v>
      </c>
    </row>
    <row r="18">
      <c r="A18" s="3" t="s">
        <v>159</v>
      </c>
      <c r="D18" s="9" t="s">
        <v>160</v>
      </c>
      <c r="F18" s="9"/>
    </row>
    <row r="19">
      <c r="A19" s="9" t="s">
        <v>161</v>
      </c>
      <c r="F19" s="9" t="s">
        <v>162</v>
      </c>
      <c r="M19" s="9" t="s">
        <v>163</v>
      </c>
    </row>
    <row r="20">
      <c r="A20" s="9" t="s">
        <v>95</v>
      </c>
      <c r="D20" s="3" t="s">
        <v>164</v>
      </c>
      <c r="F20" s="6" t="s">
        <v>165</v>
      </c>
      <c r="M20" s="6" t="s">
        <v>166</v>
      </c>
    </row>
    <row r="21">
      <c r="A21" s="9" t="s">
        <v>167</v>
      </c>
      <c r="D21" s="9" t="s">
        <v>168</v>
      </c>
      <c r="F21" s="19" t="s">
        <v>169</v>
      </c>
      <c r="M21" s="6" t="s">
        <v>170</v>
      </c>
    </row>
    <row r="22">
      <c r="A22" s="9" t="s">
        <v>171</v>
      </c>
      <c r="D22" s="9" t="s">
        <v>172</v>
      </c>
      <c r="M22" s="6" t="s">
        <v>173</v>
      </c>
      <c r="N22" s="9" t="s">
        <v>174</v>
      </c>
    </row>
    <row r="23">
      <c r="A23" s="9" t="s">
        <v>175</v>
      </c>
      <c r="D23" s="9" t="s">
        <v>176</v>
      </c>
      <c r="F23" s="9" t="s">
        <v>177</v>
      </c>
    </row>
    <row r="24">
      <c r="A24" s="9" t="s">
        <v>178</v>
      </c>
      <c r="F24" s="9" t="s">
        <v>179</v>
      </c>
      <c r="M24" s="9" t="s">
        <v>40</v>
      </c>
    </row>
    <row r="25">
      <c r="A25" s="9" t="s">
        <v>90</v>
      </c>
      <c r="F25" s="9" t="s">
        <v>180</v>
      </c>
      <c r="L25" s="9" t="s">
        <v>50</v>
      </c>
      <c r="M25" s="9" t="s">
        <v>51</v>
      </c>
      <c r="N25" s="9" t="s">
        <v>52</v>
      </c>
    </row>
    <row r="26">
      <c r="A26" s="9" t="s">
        <v>181</v>
      </c>
      <c r="C26" s="9" t="s">
        <v>182</v>
      </c>
      <c r="F26" s="9" t="s">
        <v>183</v>
      </c>
      <c r="L26" s="9" t="s">
        <v>61</v>
      </c>
      <c r="M26" s="6" t="s">
        <v>62</v>
      </c>
      <c r="N26" s="9" t="s">
        <v>63</v>
      </c>
    </row>
    <row r="27" ht="18.75" customHeight="1">
      <c r="A27" s="9" t="s">
        <v>184</v>
      </c>
      <c r="C27" s="9" t="s">
        <v>182</v>
      </c>
      <c r="F27" s="9" t="s">
        <v>185</v>
      </c>
    </row>
    <row r="28">
      <c r="C28" s="9" t="s">
        <v>182</v>
      </c>
      <c r="F28" s="9" t="s">
        <v>186</v>
      </c>
    </row>
    <row r="29" ht="15.75" customHeight="1">
      <c r="C29" s="9" t="s">
        <v>182</v>
      </c>
      <c r="F29" s="9" t="s">
        <v>187</v>
      </c>
    </row>
    <row r="30">
      <c r="C30" s="9" t="s">
        <v>182</v>
      </c>
      <c r="F30" s="9" t="s">
        <v>188</v>
      </c>
    </row>
    <row r="31">
      <c r="A31" s="3" t="s">
        <v>189</v>
      </c>
      <c r="C31" s="9" t="s">
        <v>182</v>
      </c>
      <c r="F31" s="9" t="s">
        <v>190</v>
      </c>
    </row>
    <row r="32">
      <c r="A32" s="9" t="s">
        <v>191</v>
      </c>
      <c r="B32" s="19" t="s">
        <v>192</v>
      </c>
      <c r="F32" s="9" t="s">
        <v>47</v>
      </c>
    </row>
    <row r="33">
      <c r="A33" s="9" t="s">
        <v>193</v>
      </c>
      <c r="B33" s="9" t="s">
        <v>194</v>
      </c>
    </row>
    <row r="34">
      <c r="A34" s="9" t="s">
        <v>195</v>
      </c>
      <c r="B34" s="9" t="s">
        <v>196</v>
      </c>
    </row>
    <row r="35">
      <c r="A35" s="9" t="s">
        <v>197</v>
      </c>
      <c r="B35" s="9" t="s">
        <v>198</v>
      </c>
    </row>
    <row r="36">
      <c r="A36" s="9" t="s">
        <v>199</v>
      </c>
    </row>
  </sheetData>
  <hyperlinks>
    <hyperlink r:id="rId2" ref="B1"/>
    <hyperlink r:id="rId3" location="gid=0" ref="B2"/>
    <hyperlink r:id="rId4" ref="F2"/>
    <hyperlink r:id="rId5" ref="M2"/>
    <hyperlink r:id="rId6" ref="B3"/>
    <hyperlink r:id="rId7" ref="F3"/>
    <hyperlink r:id="rId8" location="RD1926914" ref="M3"/>
    <hyperlink r:id="rId9" ref="R3"/>
    <hyperlink r:id="rId10" ref="B4"/>
    <hyperlink r:id="rId11" location="map_closed" ref="M4"/>
    <hyperlink r:id="rId12" ref="R4"/>
    <hyperlink r:id="rId13" ref="B5"/>
    <hyperlink r:id="rId14" ref="F5"/>
    <hyperlink r:id="rId15" ref="M5"/>
    <hyperlink r:id="rId16" ref="R5"/>
    <hyperlink r:id="rId17" ref="B6"/>
    <hyperlink r:id="rId18" ref="F6"/>
    <hyperlink r:id="rId19" ref="M6"/>
    <hyperlink r:id="rId20" ref="R6"/>
    <hyperlink r:id="rId21" ref="B7"/>
    <hyperlink r:id="rId22" ref="F7"/>
    <hyperlink r:id="rId23" ref="M7"/>
    <hyperlink r:id="rId24" ref="R7"/>
    <hyperlink r:id="rId25" ref="B8"/>
    <hyperlink r:id="rId26" location="rossellinis-restaurant" ref="F8"/>
    <hyperlink r:id="rId27" ref="M8"/>
    <hyperlink r:id="rId28" ref="O8"/>
    <hyperlink r:id="rId29" ref="R8"/>
    <hyperlink r:id="rId30" ref="M9"/>
    <hyperlink r:id="rId31" location="map_closed" ref="R9"/>
    <hyperlink r:id="rId32" ref="M10"/>
    <hyperlink r:id="rId33" location="tab-main" ref="R10"/>
    <hyperlink r:id="rId34" ref="M11"/>
    <hyperlink r:id="rId35" ref="B12"/>
    <hyperlink r:id="rId36" ref="F12"/>
    <hyperlink r:id="rId37" ref="M12"/>
    <hyperlink r:id="rId38" ref="M13"/>
    <hyperlink r:id="rId39" location="map_closed" ref="M14"/>
    <hyperlink r:id="rId40" ref="F15"/>
    <hyperlink r:id="rId41" ref="M15"/>
    <hyperlink r:id="rId42" ref="O15"/>
    <hyperlink display="Finalize Capri dining" location="null!A1" ref="F16"/>
    <hyperlink r:id="rId43" ref="K16"/>
    <hyperlink r:id="rId44" ref="M16"/>
    <hyperlink r:id="rId45" ref="F20"/>
    <hyperlink r:id="rId46" ref="M20"/>
    <hyperlink r:id="rId47" ref="M21"/>
    <hyperlink r:id="rId48" ref="M22"/>
    <hyperlink r:id="rId49" ref="M26"/>
  </hyperlinks>
  <drawing r:id="rId50"/>
  <legacyDrawing r:id="rId5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5"/>
    <col customWidth="1" min="2" max="2" width="16.63"/>
    <col customWidth="1" min="3" max="3" width="20.63"/>
    <col customWidth="1" min="7" max="7" width="30.75"/>
    <col customWidth="1" min="14" max="14" width="15.0"/>
    <col customWidth="1" min="15" max="15" width="39.38"/>
    <col customWidth="1" min="17" max="17" width="34.0"/>
  </cols>
  <sheetData>
    <row r="1">
      <c r="A1" s="20" t="s">
        <v>200</v>
      </c>
      <c r="B1" s="20" t="s">
        <v>201</v>
      </c>
      <c r="C1" s="20" t="s">
        <v>202</v>
      </c>
      <c r="D1" s="20" t="s">
        <v>203</v>
      </c>
      <c r="E1" s="20" t="s">
        <v>204</v>
      </c>
      <c r="F1" s="20" t="s">
        <v>205</v>
      </c>
      <c r="G1" s="20" t="s">
        <v>206</v>
      </c>
      <c r="H1" s="20" t="s">
        <v>207</v>
      </c>
      <c r="I1" s="21" t="s">
        <v>208</v>
      </c>
      <c r="J1" s="22" t="s">
        <v>209</v>
      </c>
      <c r="K1" s="22" t="s">
        <v>210</v>
      </c>
      <c r="L1" s="22" t="s">
        <v>211</v>
      </c>
      <c r="M1" s="22" t="s">
        <v>212</v>
      </c>
      <c r="N1" s="23" t="s">
        <v>213</v>
      </c>
      <c r="O1" s="9" t="s">
        <v>214</v>
      </c>
      <c r="P1" s="9" t="s">
        <v>215</v>
      </c>
      <c r="Q1" s="9" t="s">
        <v>133</v>
      </c>
      <c r="R1" s="9" t="s">
        <v>216</v>
      </c>
      <c r="S1" s="9" t="s">
        <v>217</v>
      </c>
      <c r="T1" s="9" t="s">
        <v>218</v>
      </c>
    </row>
    <row r="2">
      <c r="A2" s="19" t="s">
        <v>219</v>
      </c>
      <c r="B2" s="19" t="s">
        <v>220</v>
      </c>
      <c r="C2" s="19" t="s">
        <v>221</v>
      </c>
      <c r="D2" s="19" t="s">
        <v>222</v>
      </c>
      <c r="E2" s="19" t="s">
        <v>223</v>
      </c>
      <c r="F2" s="19" t="s">
        <v>224</v>
      </c>
      <c r="G2" s="19" t="s">
        <v>225</v>
      </c>
      <c r="H2" s="19" t="s">
        <v>226</v>
      </c>
      <c r="I2" s="19" t="s">
        <v>227</v>
      </c>
      <c r="J2" s="19" t="s">
        <v>228</v>
      </c>
      <c r="K2" s="19">
        <v>40.5504793</v>
      </c>
      <c r="L2" s="19">
        <v>14.2435663</v>
      </c>
      <c r="M2" s="24" t="s">
        <v>229</v>
      </c>
      <c r="N2" s="19" t="s">
        <v>230</v>
      </c>
      <c r="O2" s="19" t="s">
        <v>231</v>
      </c>
      <c r="P2" s="25" t="str">
        <f t="shared" ref="P2:P284" si="1">VLOOKUP(B2,$V$3:$W$100,2,0)</f>
        <v>Capri</v>
      </c>
      <c r="Q2" s="25" t="str">
        <f t="shared" ref="Q2:Q284" si="2">VLOOKUP(P2,$X$3:$Y$6,2,0)&amp;", "&amp;P2&amp;", Italy"</f>
        <v>La Residenza, Capri, Italy</v>
      </c>
      <c r="R2" s="25" t="str">
        <f>VLOOKUP(A2,'Travel Times'!$A$1:$E$1000,4,0)</f>
        <v>3 mins</v>
      </c>
      <c r="S2" s="25" t="str">
        <f>VLOOKUP(A2,'Travel Times'!$A$1:$E$1000,5,0)</f>
        <v>1 min</v>
      </c>
    </row>
    <row r="3">
      <c r="A3" s="19" t="s">
        <v>232</v>
      </c>
      <c r="B3" s="19" t="s">
        <v>233</v>
      </c>
      <c r="C3" s="19" t="s">
        <v>234</v>
      </c>
      <c r="D3" s="19" t="s">
        <v>235</v>
      </c>
      <c r="E3" s="19" t="s">
        <v>236</v>
      </c>
      <c r="F3" s="19" t="s">
        <v>237</v>
      </c>
      <c r="G3" s="19" t="s">
        <v>238</v>
      </c>
      <c r="H3" s="19" t="s">
        <v>239</v>
      </c>
      <c r="I3" s="19" t="s">
        <v>240</v>
      </c>
      <c r="J3" s="19" t="s">
        <v>241</v>
      </c>
      <c r="K3" s="19">
        <v>40.552373</v>
      </c>
      <c r="L3" s="19">
        <v>14.250934</v>
      </c>
      <c r="M3" s="24" t="s">
        <v>242</v>
      </c>
      <c r="N3" s="19" t="s">
        <v>230</v>
      </c>
      <c r="O3" s="19" t="s">
        <v>231</v>
      </c>
      <c r="P3" s="25" t="str">
        <f t="shared" si="1"/>
        <v>Capri</v>
      </c>
      <c r="Q3" s="25" t="str">
        <f t="shared" si="2"/>
        <v>La Residenza, Capri, Italy</v>
      </c>
      <c r="R3" s="25" t="str">
        <f>VLOOKUP(A3,'Travel Times'!$A$1:$E$1000,4,0)</f>
        <v>14 mins</v>
      </c>
      <c r="S3" s="25" t="str">
        <f>VLOOKUP(A3,'Travel Times'!$A$1:$E$1000,5,0)</f>
        <v>6 mins</v>
      </c>
      <c r="V3" s="9" t="s">
        <v>220</v>
      </c>
      <c r="W3" s="9" t="s">
        <v>243</v>
      </c>
      <c r="X3" s="9" t="s">
        <v>243</v>
      </c>
      <c r="Y3" s="9" t="s">
        <v>244</v>
      </c>
    </row>
    <row r="4">
      <c r="A4" s="19" t="s">
        <v>245</v>
      </c>
      <c r="B4" s="19" t="s">
        <v>220</v>
      </c>
      <c r="C4" s="19" t="s">
        <v>246</v>
      </c>
      <c r="D4" s="19" t="s">
        <v>247</v>
      </c>
      <c r="E4" s="19" t="s">
        <v>248</v>
      </c>
      <c r="F4" s="19" t="s">
        <v>249</v>
      </c>
      <c r="G4" s="19" t="s">
        <v>250</v>
      </c>
      <c r="H4" s="19" t="s">
        <v>251</v>
      </c>
      <c r="I4" s="19" t="s">
        <v>252</v>
      </c>
      <c r="J4" s="19" t="s">
        <v>253</v>
      </c>
      <c r="K4" s="19">
        <v>40.5508286</v>
      </c>
      <c r="L4" s="19">
        <v>14.2427963</v>
      </c>
      <c r="M4" s="24" t="s">
        <v>254</v>
      </c>
      <c r="N4" s="19" t="s">
        <v>230</v>
      </c>
      <c r="O4" s="19" t="s">
        <v>231</v>
      </c>
      <c r="P4" s="25" t="str">
        <f t="shared" si="1"/>
        <v>Capri</v>
      </c>
      <c r="Q4" s="25" t="str">
        <f t="shared" si="2"/>
        <v>La Residenza, Capri, Italy</v>
      </c>
      <c r="R4" s="25" t="str">
        <f>VLOOKUP(A4,'Travel Times'!$A$1:$E$1000,4,0)</f>
        <v>4 mins</v>
      </c>
      <c r="S4" s="25" t="str">
        <f>VLOOKUP(A4,'Travel Times'!$A$1:$E$1000,5,0)</f>
        <v>1 min</v>
      </c>
      <c r="V4" s="9" t="s">
        <v>233</v>
      </c>
      <c r="W4" s="9" t="s">
        <v>243</v>
      </c>
      <c r="X4" s="9" t="s">
        <v>255</v>
      </c>
      <c r="Y4" s="9" t="s">
        <v>173</v>
      </c>
    </row>
    <row r="5">
      <c r="A5" s="19" t="s">
        <v>256</v>
      </c>
      <c r="B5" s="19" t="s">
        <v>220</v>
      </c>
      <c r="C5" s="19" t="s">
        <v>257</v>
      </c>
      <c r="D5" s="19" t="s">
        <v>258</v>
      </c>
      <c r="E5" s="19" t="s">
        <v>259</v>
      </c>
      <c r="F5" s="19" t="s">
        <v>260</v>
      </c>
      <c r="G5" s="19" t="s">
        <v>261</v>
      </c>
      <c r="H5" s="19" t="s">
        <v>251</v>
      </c>
      <c r="I5" s="19" t="s">
        <v>262</v>
      </c>
      <c r="J5" s="19" t="s">
        <v>263</v>
      </c>
      <c r="K5" s="19">
        <v>40.5546279</v>
      </c>
      <c r="L5" s="19">
        <v>14.2168974</v>
      </c>
      <c r="M5" s="24" t="s">
        <v>264</v>
      </c>
      <c r="N5" s="19" t="s">
        <v>230</v>
      </c>
      <c r="O5" s="19" t="s">
        <v>231</v>
      </c>
      <c r="P5" s="25" t="str">
        <f t="shared" si="1"/>
        <v>Capri</v>
      </c>
      <c r="Q5" s="25" t="str">
        <f t="shared" si="2"/>
        <v>La Residenza, Capri, Italy</v>
      </c>
      <c r="R5" s="25" t="str">
        <f>VLOOKUP(A5,'Travel Times'!$A$1:$E$1000,4,0)</f>
        <v>52 mins</v>
      </c>
      <c r="S5" s="25" t="str">
        <f>VLOOKUP(A5,'Travel Times'!$A$1:$E$1000,5,0)</f>
        <v>11 mins</v>
      </c>
      <c r="V5" s="9" t="s">
        <v>265</v>
      </c>
      <c r="W5" s="9" t="s">
        <v>243</v>
      </c>
      <c r="X5" s="9" t="s">
        <v>266</v>
      </c>
      <c r="Y5" s="9" t="s">
        <v>267</v>
      </c>
    </row>
    <row r="6">
      <c r="A6" s="19" t="s">
        <v>268</v>
      </c>
      <c r="B6" s="19" t="s">
        <v>220</v>
      </c>
      <c r="C6" s="19" t="s">
        <v>269</v>
      </c>
      <c r="D6" s="19" t="s">
        <v>270</v>
      </c>
      <c r="E6" s="19" t="s">
        <v>271</v>
      </c>
      <c r="F6" s="19" t="s">
        <v>272</v>
      </c>
      <c r="G6" s="19" t="s">
        <v>273</v>
      </c>
      <c r="H6" s="19" t="s">
        <v>274</v>
      </c>
      <c r="I6" s="19" t="s">
        <v>275</v>
      </c>
      <c r="J6" s="19" t="s">
        <v>276</v>
      </c>
      <c r="K6" s="19">
        <v>40.5542182</v>
      </c>
      <c r="L6" s="19">
        <v>14.2400251</v>
      </c>
      <c r="M6" s="24" t="s">
        <v>277</v>
      </c>
      <c r="N6" s="19" t="s">
        <v>230</v>
      </c>
      <c r="O6" s="19" t="s">
        <v>231</v>
      </c>
      <c r="P6" s="25" t="str">
        <f t="shared" si="1"/>
        <v>Capri</v>
      </c>
      <c r="Q6" s="25" t="str">
        <f t="shared" si="2"/>
        <v>La Residenza, Capri, Italy</v>
      </c>
      <c r="R6" s="25" t="str">
        <f>VLOOKUP(A6,'Travel Times'!$A$1:$E$1000,4,0)</f>
        <v>16 mins</v>
      </c>
      <c r="S6" s="25" t="str">
        <f>VLOOKUP(A6,'Travel Times'!$A$1:$E$1000,5,0)</f>
        <v>7 mins</v>
      </c>
      <c r="V6" s="9" t="s">
        <v>278</v>
      </c>
      <c r="W6" s="9" t="s">
        <v>243</v>
      </c>
      <c r="X6" s="9" t="s">
        <v>61</v>
      </c>
      <c r="Y6" s="9" t="s">
        <v>95</v>
      </c>
    </row>
    <row r="7">
      <c r="A7" s="19" t="s">
        <v>279</v>
      </c>
      <c r="B7" s="19" t="s">
        <v>220</v>
      </c>
      <c r="C7" s="19" t="s">
        <v>269</v>
      </c>
      <c r="D7" s="19" t="s">
        <v>280</v>
      </c>
      <c r="E7" s="19" t="s">
        <v>281</v>
      </c>
      <c r="F7" s="19" t="s">
        <v>282</v>
      </c>
      <c r="G7" s="19" t="s">
        <v>283</v>
      </c>
      <c r="H7" s="19" t="s">
        <v>284</v>
      </c>
      <c r="I7" s="19" t="s">
        <v>285</v>
      </c>
      <c r="J7" s="19" t="s">
        <v>286</v>
      </c>
      <c r="K7" s="19">
        <v>40.5507259</v>
      </c>
      <c r="L7" s="19">
        <v>14.2429</v>
      </c>
      <c r="M7" s="24" t="s">
        <v>287</v>
      </c>
      <c r="N7" s="19" t="s">
        <v>230</v>
      </c>
      <c r="O7" s="19" t="s">
        <v>231</v>
      </c>
      <c r="P7" s="25" t="str">
        <f t="shared" si="1"/>
        <v>Capri</v>
      </c>
      <c r="Q7" s="25" t="str">
        <f t="shared" si="2"/>
        <v>La Residenza, Capri, Italy</v>
      </c>
      <c r="R7" s="25" t="str">
        <f>VLOOKUP(A7,'Travel Times'!$A$1:$E$1000,4,0)</f>
        <v>4 mins</v>
      </c>
      <c r="S7" s="25" t="str">
        <f>VLOOKUP(A7,'Travel Times'!$A$1:$E$1000,5,0)</f>
        <v>1 min</v>
      </c>
      <c r="V7" s="9" t="s">
        <v>243</v>
      </c>
      <c r="W7" s="9" t="s">
        <v>243</v>
      </c>
    </row>
    <row r="8">
      <c r="A8" s="19" t="s">
        <v>288</v>
      </c>
      <c r="B8" s="19" t="s">
        <v>289</v>
      </c>
      <c r="C8" s="19" t="s">
        <v>290</v>
      </c>
      <c r="D8" s="19" t="s">
        <v>291</v>
      </c>
      <c r="E8" s="19" t="s">
        <v>292</v>
      </c>
      <c r="F8" s="19" t="s">
        <v>293</v>
      </c>
      <c r="G8" s="19" t="s">
        <v>294</v>
      </c>
      <c r="H8" s="19" t="s">
        <v>295</v>
      </c>
      <c r="I8" s="19" t="s">
        <v>296</v>
      </c>
      <c r="J8" s="19" t="s">
        <v>297</v>
      </c>
      <c r="K8" s="19">
        <v>40.550184</v>
      </c>
      <c r="L8" s="19">
        <v>14.241639</v>
      </c>
      <c r="M8" s="24" t="s">
        <v>298</v>
      </c>
      <c r="N8" s="19" t="s">
        <v>299</v>
      </c>
      <c r="O8" s="19" t="s">
        <v>300</v>
      </c>
      <c r="P8" s="25" t="str">
        <f t="shared" si="1"/>
        <v>Capri</v>
      </c>
      <c r="Q8" s="25" t="str">
        <f t="shared" si="2"/>
        <v>La Residenza, Capri, Italy</v>
      </c>
      <c r="R8" s="25" t="str">
        <f>VLOOKUP(A8,'Travel Times'!$A$1:$E$1000,4,0)</f>
        <v>6 mins</v>
      </c>
      <c r="S8" s="25" t="str">
        <f>VLOOKUP(A8,'Travel Times'!$A$1:$E$1000,5,0)</f>
        <v>1 min</v>
      </c>
      <c r="V8" s="9" t="s">
        <v>255</v>
      </c>
      <c r="W8" s="9" t="s">
        <v>255</v>
      </c>
    </row>
    <row r="9">
      <c r="A9" s="19" t="s">
        <v>301</v>
      </c>
      <c r="B9" s="19" t="s">
        <v>289</v>
      </c>
      <c r="C9" s="19" t="s">
        <v>302</v>
      </c>
      <c r="D9" s="19" t="s">
        <v>291</v>
      </c>
      <c r="E9" s="19" t="s">
        <v>303</v>
      </c>
      <c r="F9" s="19" t="s">
        <v>304</v>
      </c>
      <c r="G9" s="19" t="s">
        <v>305</v>
      </c>
      <c r="H9" s="19" t="s">
        <v>306</v>
      </c>
      <c r="I9" s="19" t="s">
        <v>307</v>
      </c>
      <c r="J9" s="19" t="s">
        <v>308</v>
      </c>
      <c r="K9" s="19">
        <v>40.550878</v>
      </c>
      <c r="L9" s="19">
        <v>14.2450572</v>
      </c>
      <c r="M9" s="24" t="s">
        <v>309</v>
      </c>
      <c r="N9" s="19" t="s">
        <v>299</v>
      </c>
      <c r="O9" s="19" t="s">
        <v>300</v>
      </c>
      <c r="P9" s="25" t="str">
        <f t="shared" si="1"/>
        <v>Capri</v>
      </c>
      <c r="Q9" s="25" t="str">
        <f t="shared" si="2"/>
        <v>La Residenza, Capri, Italy</v>
      </c>
      <c r="R9" s="25" t="str">
        <f>VLOOKUP(A9,'Travel Times'!$A$1:$E$1000,4,0)</f>
        <v>5 mins</v>
      </c>
      <c r="S9" s="25" t="str">
        <f>VLOOKUP(A9,'Travel Times'!$A$1:$E$1000,5,0)</f>
        <v>1 min</v>
      </c>
      <c r="V9" s="9" t="s">
        <v>266</v>
      </c>
      <c r="W9" s="9" t="s">
        <v>266</v>
      </c>
    </row>
    <row r="10">
      <c r="A10" s="19" t="s">
        <v>310</v>
      </c>
      <c r="B10" s="19" t="s">
        <v>265</v>
      </c>
      <c r="C10" s="19" t="s">
        <v>290</v>
      </c>
      <c r="D10" s="19" t="s">
        <v>291</v>
      </c>
      <c r="E10" s="19" t="s">
        <v>311</v>
      </c>
      <c r="F10" s="19" t="s">
        <v>312</v>
      </c>
      <c r="G10" s="19" t="s">
        <v>294</v>
      </c>
      <c r="H10" s="19" t="s">
        <v>313</v>
      </c>
      <c r="I10" s="19" t="s">
        <v>314</v>
      </c>
      <c r="J10" s="19" t="s">
        <v>315</v>
      </c>
      <c r="K10" s="19">
        <v>40.5562249</v>
      </c>
      <c r="L10" s="19">
        <v>14.2388268</v>
      </c>
      <c r="M10" s="24" t="s">
        <v>316</v>
      </c>
      <c r="N10" s="19" t="s">
        <v>299</v>
      </c>
      <c r="O10" s="19" t="s">
        <v>300</v>
      </c>
      <c r="P10" s="25" t="str">
        <f t="shared" si="1"/>
        <v>Capri</v>
      </c>
      <c r="Q10" s="25" t="str">
        <f t="shared" si="2"/>
        <v>La Residenza, Capri, Italy</v>
      </c>
      <c r="R10" s="25" t="str">
        <f>VLOOKUP(A10,'Travel Times'!$A$1:$E$1000,4,0)</f>
        <v>23 mins</v>
      </c>
      <c r="S10" s="25" t="str">
        <f>VLOOKUP(A10,'Travel Times'!$A$1:$E$1000,5,0)</f>
        <v>9 mins</v>
      </c>
      <c r="V10" s="9" t="s">
        <v>317</v>
      </c>
      <c r="W10" s="9" t="s">
        <v>266</v>
      </c>
    </row>
    <row r="11">
      <c r="A11" s="19" t="s">
        <v>318</v>
      </c>
      <c r="B11" s="19" t="s">
        <v>278</v>
      </c>
      <c r="C11" s="19" t="s">
        <v>302</v>
      </c>
      <c r="D11" s="19" t="s">
        <v>291</v>
      </c>
      <c r="E11" s="19" t="s">
        <v>319</v>
      </c>
      <c r="F11" s="19" t="s">
        <v>320</v>
      </c>
      <c r="G11" s="19" t="s">
        <v>321</v>
      </c>
      <c r="H11" s="19" t="s">
        <v>322</v>
      </c>
      <c r="I11" s="19" t="s">
        <v>323</v>
      </c>
      <c r="J11" s="19" t="s">
        <v>324</v>
      </c>
      <c r="K11" s="19">
        <v>40.5494786</v>
      </c>
      <c r="L11" s="19">
        <v>14.2541823</v>
      </c>
      <c r="M11" s="24" t="s">
        <v>325</v>
      </c>
      <c r="N11" s="19" t="s">
        <v>299</v>
      </c>
      <c r="O11" s="19" t="s">
        <v>300</v>
      </c>
      <c r="P11" s="25" t="str">
        <f t="shared" si="1"/>
        <v>Capri</v>
      </c>
      <c r="Q11" s="25" t="str">
        <f t="shared" si="2"/>
        <v>La Residenza, Capri, Italy</v>
      </c>
      <c r="R11" s="25" t="str">
        <f>VLOOKUP(A11,'Travel Times'!$A$1:$E$1000,4,0)</f>
        <v>20 mins</v>
      </c>
      <c r="S11" s="25" t="str">
        <f>VLOOKUP(A11,'Travel Times'!$A$1:$E$1000,5,0)</f>
        <v>#ERROR!</v>
      </c>
      <c r="V11" s="9" t="s">
        <v>50</v>
      </c>
      <c r="W11" s="9" t="s">
        <v>61</v>
      </c>
    </row>
    <row r="12">
      <c r="A12" s="3" t="s">
        <v>326</v>
      </c>
      <c r="B12" s="19" t="s">
        <v>289</v>
      </c>
      <c r="C12" s="19" t="s">
        <v>302</v>
      </c>
      <c r="D12" s="19" t="s">
        <v>291</v>
      </c>
      <c r="E12" s="19" t="s">
        <v>327</v>
      </c>
      <c r="F12" s="19" t="s">
        <v>328</v>
      </c>
      <c r="G12" s="19" t="s">
        <v>329</v>
      </c>
      <c r="H12" s="19" t="s">
        <v>330</v>
      </c>
      <c r="I12" s="19" t="s">
        <v>331</v>
      </c>
      <c r="J12" s="19" t="s">
        <v>332</v>
      </c>
      <c r="K12" s="19">
        <v>40.5500685</v>
      </c>
      <c r="L12" s="19">
        <v>14.2445107</v>
      </c>
      <c r="M12" s="24" t="s">
        <v>333</v>
      </c>
      <c r="N12" s="19" t="s">
        <v>299</v>
      </c>
      <c r="O12" s="19" t="s">
        <v>300</v>
      </c>
      <c r="P12" s="25" t="str">
        <f t="shared" si="1"/>
        <v>Capri</v>
      </c>
      <c r="Q12" s="25" t="str">
        <f t="shared" si="2"/>
        <v>La Residenza, Capri, Italy</v>
      </c>
      <c r="R12" s="25" t="str">
        <f>VLOOKUP(A12,'Travel Times'!$A$1:$E$1000,4,0)</f>
        <v>2 mins</v>
      </c>
      <c r="S12" s="25" t="str">
        <f>VLOOKUP(A12,'Travel Times'!$A$1:$E$1000,5,0)</f>
        <v>1 min</v>
      </c>
      <c r="T12" s="9" t="s">
        <v>334</v>
      </c>
      <c r="V12" s="9" t="s">
        <v>335</v>
      </c>
      <c r="W12" s="9" t="s">
        <v>61</v>
      </c>
    </row>
    <row r="13">
      <c r="A13" s="19" t="s">
        <v>336</v>
      </c>
      <c r="B13" s="19" t="s">
        <v>265</v>
      </c>
      <c r="C13" s="19" t="s">
        <v>290</v>
      </c>
      <c r="D13" s="19" t="s">
        <v>291</v>
      </c>
      <c r="E13" s="19" t="s">
        <v>337</v>
      </c>
      <c r="F13" s="19" t="s">
        <v>338</v>
      </c>
      <c r="G13" s="19" t="s">
        <v>339</v>
      </c>
      <c r="H13" s="19" t="s">
        <v>295</v>
      </c>
      <c r="I13" s="19" t="s">
        <v>340</v>
      </c>
      <c r="J13" s="19" t="s">
        <v>341</v>
      </c>
      <c r="K13" s="19">
        <v>40.5504764</v>
      </c>
      <c r="L13" s="19">
        <v>14.243448</v>
      </c>
      <c r="M13" s="24" t="s">
        <v>342</v>
      </c>
      <c r="N13" s="19" t="s">
        <v>299</v>
      </c>
      <c r="O13" s="19" t="s">
        <v>300</v>
      </c>
      <c r="P13" s="25" t="str">
        <f t="shared" si="1"/>
        <v>Capri</v>
      </c>
      <c r="Q13" s="25" t="str">
        <f t="shared" si="2"/>
        <v>La Residenza, Capri, Italy</v>
      </c>
      <c r="R13" s="25" t="str">
        <f>VLOOKUP(A13,'Travel Times'!$A$1:$E$1000,4,0)</f>
        <v>22 mins</v>
      </c>
      <c r="S13" s="25" t="str">
        <f>VLOOKUP(A13,'Travel Times'!$A$1:$E$1000,5,0)</f>
        <v>10 mins</v>
      </c>
      <c r="V13" s="9" t="s">
        <v>343</v>
      </c>
      <c r="W13" s="9" t="s">
        <v>61</v>
      </c>
    </row>
    <row r="14">
      <c r="A14" s="19" t="s">
        <v>344</v>
      </c>
      <c r="B14" s="19" t="s">
        <v>289</v>
      </c>
      <c r="C14" s="19" t="s">
        <v>345</v>
      </c>
      <c r="D14" s="19" t="s">
        <v>291</v>
      </c>
      <c r="E14" s="19" t="s">
        <v>346</v>
      </c>
      <c r="F14" s="19" t="s">
        <v>347</v>
      </c>
      <c r="G14" s="19" t="s">
        <v>348</v>
      </c>
      <c r="H14" s="19" t="s">
        <v>349</v>
      </c>
      <c r="I14" s="19" t="s">
        <v>350</v>
      </c>
      <c r="J14" s="19" t="s">
        <v>351</v>
      </c>
      <c r="K14" s="19">
        <v>40.550782</v>
      </c>
      <c r="L14" s="19">
        <v>14.2433042</v>
      </c>
      <c r="M14" s="24" t="s">
        <v>352</v>
      </c>
      <c r="N14" s="19" t="s">
        <v>299</v>
      </c>
      <c r="O14" s="19" t="s">
        <v>300</v>
      </c>
      <c r="P14" s="25" t="str">
        <f t="shared" si="1"/>
        <v>Capri</v>
      </c>
      <c r="Q14" s="25" t="str">
        <f t="shared" si="2"/>
        <v>La Residenza, Capri, Italy</v>
      </c>
      <c r="R14" s="25" t="str">
        <f>VLOOKUP(A14,'Travel Times'!$A$1:$E$1000,4,0)</f>
        <v>4 mins</v>
      </c>
      <c r="S14" s="25" t="str">
        <f>VLOOKUP(A14,'Travel Times'!$A$1:$E$1000,5,0)</f>
        <v>1 min</v>
      </c>
      <c r="V14" s="9" t="s">
        <v>61</v>
      </c>
      <c r="W14" s="9" t="s">
        <v>61</v>
      </c>
    </row>
    <row r="15">
      <c r="A15" s="16" t="s">
        <v>353</v>
      </c>
      <c r="B15" s="19" t="s">
        <v>289</v>
      </c>
      <c r="C15" s="19" t="s">
        <v>290</v>
      </c>
      <c r="D15" s="19" t="s">
        <v>235</v>
      </c>
      <c r="E15" s="19" t="s">
        <v>354</v>
      </c>
      <c r="F15" s="19" t="s">
        <v>355</v>
      </c>
      <c r="G15" s="19" t="s">
        <v>339</v>
      </c>
      <c r="H15" s="19" t="s">
        <v>356</v>
      </c>
      <c r="I15" s="19" t="s">
        <v>240</v>
      </c>
      <c r="J15" s="19" t="s">
        <v>241</v>
      </c>
      <c r="K15" s="19">
        <v>40.552373</v>
      </c>
      <c r="L15" s="19">
        <v>14.250934</v>
      </c>
      <c r="M15" s="24" t="s">
        <v>357</v>
      </c>
      <c r="N15" s="19" t="s">
        <v>299</v>
      </c>
      <c r="O15" s="19" t="s">
        <v>300</v>
      </c>
      <c r="P15" s="25" t="str">
        <f t="shared" si="1"/>
        <v>Capri</v>
      </c>
      <c r="Q15" s="25" t="str">
        <f t="shared" si="2"/>
        <v>La Residenza, Capri, Italy</v>
      </c>
      <c r="R15" s="25" t="str">
        <f>VLOOKUP(A15,'Travel Times'!$A$1:$E$1000,4,0)</f>
        <v>14 mins</v>
      </c>
      <c r="S15" s="25" t="str">
        <f>VLOOKUP(A15,'Travel Times'!$A$1:$E$1000,5,0)</f>
        <v>6 mins</v>
      </c>
      <c r="T15" s="9" t="s">
        <v>358</v>
      </c>
      <c r="V15" s="9" t="s">
        <v>79</v>
      </c>
      <c r="W15" s="9" t="s">
        <v>243</v>
      </c>
    </row>
    <row r="16">
      <c r="A16" s="16" t="s">
        <v>359</v>
      </c>
      <c r="B16" s="19" t="s">
        <v>243</v>
      </c>
      <c r="C16" s="19" t="s">
        <v>302</v>
      </c>
      <c r="D16" s="19" t="s">
        <v>291</v>
      </c>
      <c r="E16" s="19" t="s">
        <v>360</v>
      </c>
      <c r="F16" s="19" t="s">
        <v>361</v>
      </c>
      <c r="G16" s="19" t="s">
        <v>321</v>
      </c>
      <c r="H16" s="19" t="s">
        <v>362</v>
      </c>
      <c r="I16" s="19" t="s">
        <v>252</v>
      </c>
      <c r="J16" s="19" t="s">
        <v>253</v>
      </c>
      <c r="K16" s="19">
        <v>40.5508286</v>
      </c>
      <c r="L16" s="19">
        <v>14.2427963</v>
      </c>
      <c r="M16" s="24" t="s">
        <v>363</v>
      </c>
      <c r="N16" s="19" t="s">
        <v>299</v>
      </c>
      <c r="O16" s="19" t="s">
        <v>300</v>
      </c>
      <c r="P16" s="25" t="str">
        <f t="shared" si="1"/>
        <v>Capri</v>
      </c>
      <c r="Q16" s="25" t="str">
        <f t="shared" si="2"/>
        <v>La Residenza, Capri, Italy</v>
      </c>
      <c r="R16" s="25" t="str">
        <f>VLOOKUP(A16,'Travel Times'!$A$1:$E$1000,4,0)</f>
        <v>4 mins</v>
      </c>
      <c r="S16" s="25" t="str">
        <f>VLOOKUP(A16,'Travel Times'!$A$1:$E$1000,5,0)</f>
        <v>1 min</v>
      </c>
      <c r="T16" s="9" t="s">
        <v>364</v>
      </c>
      <c r="V16" s="9" t="s">
        <v>365</v>
      </c>
      <c r="W16" s="9" t="s">
        <v>61</v>
      </c>
    </row>
    <row r="17">
      <c r="A17" s="19" t="s">
        <v>366</v>
      </c>
      <c r="B17" s="19" t="s">
        <v>243</v>
      </c>
      <c r="C17" s="19" t="s">
        <v>302</v>
      </c>
      <c r="D17" s="19" t="s">
        <v>291</v>
      </c>
      <c r="E17" s="19" t="s">
        <v>367</v>
      </c>
      <c r="F17" s="19" t="s">
        <v>368</v>
      </c>
      <c r="G17" s="19" t="s">
        <v>369</v>
      </c>
      <c r="H17" s="19" t="s">
        <v>349</v>
      </c>
      <c r="I17" s="19" t="s">
        <v>370</v>
      </c>
      <c r="J17" s="19" t="s">
        <v>371</v>
      </c>
      <c r="K17" s="19">
        <v>40.545691</v>
      </c>
      <c r="L17" s="19">
        <v>14.2355518</v>
      </c>
      <c r="M17" s="24" t="s">
        <v>372</v>
      </c>
      <c r="N17" s="19" t="s">
        <v>299</v>
      </c>
      <c r="O17" s="19" t="s">
        <v>300</v>
      </c>
      <c r="P17" s="25" t="str">
        <f t="shared" si="1"/>
        <v>Capri</v>
      </c>
      <c r="Q17" s="25" t="str">
        <f t="shared" si="2"/>
        <v>La Residenza, Capri, Italy</v>
      </c>
      <c r="R17" s="25" t="str">
        <f>VLOOKUP(A17,'Travel Times'!$A$1:$E$1000,4,0)</f>
        <v>22 mins</v>
      </c>
      <c r="S17" s="25" t="str">
        <f>VLOOKUP(A17,'Travel Times'!$A$1:$E$1000,5,0)</f>
        <v>8 mins</v>
      </c>
      <c r="V17" s="9" t="s">
        <v>373</v>
      </c>
      <c r="W17" s="9" t="s">
        <v>61</v>
      </c>
    </row>
    <row r="18">
      <c r="A18" s="19" t="s">
        <v>374</v>
      </c>
      <c r="B18" s="19" t="s">
        <v>243</v>
      </c>
      <c r="C18" s="19" t="s">
        <v>302</v>
      </c>
      <c r="D18" s="19" t="s">
        <v>291</v>
      </c>
      <c r="E18" s="19" t="s">
        <v>375</v>
      </c>
      <c r="F18" s="19" t="s">
        <v>376</v>
      </c>
      <c r="G18" s="19" t="s">
        <v>321</v>
      </c>
      <c r="H18" s="19" t="s">
        <v>377</v>
      </c>
      <c r="I18" s="19" t="s">
        <v>378</v>
      </c>
      <c r="J18" s="19" t="s">
        <v>379</v>
      </c>
      <c r="K18" s="19">
        <v>40.55633</v>
      </c>
      <c r="L18" s="19">
        <v>14.2361122</v>
      </c>
      <c r="M18" s="24" t="s">
        <v>380</v>
      </c>
      <c r="N18" s="19" t="s">
        <v>299</v>
      </c>
      <c r="O18" s="19" t="s">
        <v>300</v>
      </c>
      <c r="P18" s="25" t="str">
        <f t="shared" si="1"/>
        <v>Capri</v>
      </c>
      <c r="Q18" s="25" t="str">
        <f t="shared" si="2"/>
        <v>La Residenza, Capri, Italy</v>
      </c>
      <c r="R18" s="25" t="str">
        <f>VLOOKUP(A18,'Travel Times'!$A$1:$E$1000,4,0)</f>
        <v>19 mins</v>
      </c>
      <c r="S18" s="25" t="str">
        <f>VLOOKUP(A18,'Travel Times'!$A$1:$E$1000,5,0)</f>
        <v>7 mins</v>
      </c>
      <c r="V18" s="9" t="s">
        <v>381</v>
      </c>
      <c r="W18" s="9" t="s">
        <v>61</v>
      </c>
    </row>
    <row r="19">
      <c r="A19" s="19" t="s">
        <v>382</v>
      </c>
      <c r="B19" s="19" t="s">
        <v>243</v>
      </c>
      <c r="C19" s="19" t="s">
        <v>290</v>
      </c>
      <c r="D19" s="19" t="s">
        <v>291</v>
      </c>
      <c r="E19" s="19" t="s">
        <v>383</v>
      </c>
      <c r="F19" s="19" t="s">
        <v>384</v>
      </c>
      <c r="G19" s="19" t="s">
        <v>339</v>
      </c>
      <c r="H19" s="19" t="s">
        <v>362</v>
      </c>
      <c r="I19" s="19" t="s">
        <v>385</v>
      </c>
      <c r="J19" s="19" t="s">
        <v>386</v>
      </c>
      <c r="K19" s="19">
        <v>40.5497881</v>
      </c>
      <c r="L19" s="19">
        <v>14.2450745</v>
      </c>
      <c r="M19" s="24" t="s">
        <v>387</v>
      </c>
      <c r="N19" s="19" t="s">
        <v>299</v>
      </c>
      <c r="O19" s="19" t="s">
        <v>300</v>
      </c>
      <c r="P19" s="25" t="str">
        <f t="shared" si="1"/>
        <v>Capri</v>
      </c>
      <c r="Q19" s="25" t="str">
        <f t="shared" si="2"/>
        <v>La Residenza, Capri, Italy</v>
      </c>
      <c r="R19" s="25" t="str">
        <f>VLOOKUP(A19,'Travel Times'!$A$1:$E$1000,4,0)</f>
        <v>18 mins</v>
      </c>
      <c r="S19" s="25" t="str">
        <f>VLOOKUP(A19,'Travel Times'!$A$1:$E$1000,5,0)</f>
        <v>6 mins</v>
      </c>
      <c r="V19" s="9" t="s">
        <v>388</v>
      </c>
      <c r="W19" s="9" t="s">
        <v>61</v>
      </c>
    </row>
    <row r="20">
      <c r="A20" s="19" t="s">
        <v>389</v>
      </c>
      <c r="B20" s="19" t="str">
        <f t="shared" ref="B20:B29" si="3">substitute(RIGHT(A20,len(A20)-FIND("(",A20)),")","")</f>
        <v>Naples</v>
      </c>
      <c r="C20" s="19" t="s">
        <v>133</v>
      </c>
      <c r="D20" s="19" t="s">
        <v>390</v>
      </c>
      <c r="E20" s="19" t="s">
        <v>391</v>
      </c>
      <c r="F20" s="19" t="s">
        <v>392</v>
      </c>
      <c r="G20" s="19" t="s">
        <v>393</v>
      </c>
      <c r="H20" s="19" t="s">
        <v>394</v>
      </c>
      <c r="I20" s="19" t="s">
        <v>395</v>
      </c>
      <c r="J20" s="19" t="s">
        <v>396</v>
      </c>
      <c r="K20" s="19">
        <f>IFERROR(__xludf.DUMMYFUNCTION("SPLIT(J20,"", "")"),40.845634)</f>
        <v>40.845634</v>
      </c>
      <c r="L20" s="19">
        <f>IFERROR(__xludf.DUMMYFUNCTION("""COMPUTED_VALUE"""),14.2517054)</f>
        <v>14.2517054</v>
      </c>
      <c r="M20" s="24" t="str">
        <f t="shared" ref="M20:M43" si="4">HYPERLINK("https://www.google.com/maps/search/"&amp;ENCODEURL(A20&amp;", "&amp;21&amp;", Italy"))</f>
        <v>https://www.google.com/maps/search/Artemisia%20Domus%20%28Naples%29%2C%2021%2C%20Italy</v>
      </c>
      <c r="N20" s="24" t="s">
        <v>397</v>
      </c>
      <c r="O20" s="19" t="s">
        <v>398</v>
      </c>
      <c r="P20" s="25" t="str">
        <f t="shared" si="1"/>
        <v>Naples</v>
      </c>
      <c r="Q20" s="25" t="str">
        <f t="shared" si="2"/>
        <v>Relais sul Mare Boutique Hotel, Naples, Italy</v>
      </c>
      <c r="R20" s="25" t="str">
        <f>VLOOKUP(A20,'Travel Times'!$A$1:$E$1000,4,0)</f>
        <v>29 mins</v>
      </c>
      <c r="S20" s="25" t="str">
        <f>VLOOKUP(A20,'Travel Times'!$A$1:$E$1000,5,0)</f>
        <v>9 mins</v>
      </c>
      <c r="V20" s="26" t="s">
        <v>399</v>
      </c>
      <c r="W20" s="9" t="s">
        <v>61</v>
      </c>
    </row>
    <row r="21">
      <c r="A21" s="19" t="s">
        <v>400</v>
      </c>
      <c r="B21" s="19" t="str">
        <f t="shared" si="3"/>
        <v>Naples</v>
      </c>
      <c r="C21" s="19" t="s">
        <v>133</v>
      </c>
      <c r="D21" s="19" t="s">
        <v>390</v>
      </c>
      <c r="E21" s="19" t="s">
        <v>401</v>
      </c>
      <c r="F21" s="19" t="s">
        <v>402</v>
      </c>
      <c r="G21" s="19" t="s">
        <v>393</v>
      </c>
      <c r="H21" s="19" t="s">
        <v>403</v>
      </c>
      <c r="I21" s="19" t="s">
        <v>404</v>
      </c>
      <c r="J21" s="19" t="s">
        <v>405</v>
      </c>
      <c r="K21" s="19">
        <f>IFERROR(__xludf.DUMMYFUNCTION("SPLIT(J21,"", "")"),40.836915)</f>
        <v>40.836915</v>
      </c>
      <c r="L21" s="19">
        <f>IFERROR(__xludf.DUMMYFUNCTION("""COMPUTED_VALUE"""),14.2296809)</f>
        <v>14.2296809</v>
      </c>
      <c r="M21" s="24" t="str">
        <f t="shared" si="4"/>
        <v>https://www.google.com/maps/search/The%20Britannique%20by%20Hilton%20%28Naples%29%2C%2021%2C%20Italy</v>
      </c>
      <c r="N21" s="24" t="s">
        <v>397</v>
      </c>
      <c r="O21" s="19" t="s">
        <v>398</v>
      </c>
      <c r="P21" s="25" t="str">
        <f t="shared" si="1"/>
        <v>Naples</v>
      </c>
      <c r="Q21" s="25" t="str">
        <f t="shared" si="2"/>
        <v>Relais sul Mare Boutique Hotel, Naples, Italy</v>
      </c>
      <c r="R21" s="25" t="str">
        <f>VLOOKUP(A21,'Travel Times'!$A$1:$E$1000,4,0)</f>
        <v>39 mins</v>
      </c>
      <c r="S21" s="25" t="str">
        <f>VLOOKUP(A21,'Travel Times'!$A$1:$E$1000,5,0)</f>
        <v>11 mins</v>
      </c>
      <c r="V21" s="27" t="s">
        <v>406</v>
      </c>
      <c r="W21" s="9" t="s">
        <v>61</v>
      </c>
    </row>
    <row r="22">
      <c r="A22" s="19" t="s">
        <v>407</v>
      </c>
      <c r="B22" s="19" t="str">
        <f t="shared" si="3"/>
        <v>Naples</v>
      </c>
      <c r="C22" s="19" t="s">
        <v>408</v>
      </c>
      <c r="D22" s="19" t="s">
        <v>409</v>
      </c>
      <c r="E22" s="19" t="s">
        <v>410</v>
      </c>
      <c r="F22" s="19" t="s">
        <v>411</v>
      </c>
      <c r="G22" s="24" t="s">
        <v>412</v>
      </c>
      <c r="H22" s="19" t="s">
        <v>413</v>
      </c>
      <c r="I22" s="19" t="s">
        <v>414</v>
      </c>
      <c r="J22" s="19" t="s">
        <v>415</v>
      </c>
      <c r="K22" s="19">
        <f>IFERROR(__xludf.DUMMYFUNCTION("SPLIT(J22,"", "")"),40.850421)</f>
        <v>40.850421</v>
      </c>
      <c r="L22" s="19">
        <f>IFERROR(__xludf.DUMMYFUNCTION("""COMPUTED_VALUE"""),14.2553143)</f>
        <v>14.2553143</v>
      </c>
      <c r="M22" s="24" t="str">
        <f t="shared" si="4"/>
        <v>https://www.google.com/maps/search/Gino%20Sorbillo%20%28Naples%29%2C%2021%2C%20Italy</v>
      </c>
      <c r="N22" s="24" t="s">
        <v>397</v>
      </c>
      <c r="O22" s="19" t="s">
        <v>398</v>
      </c>
      <c r="P22" s="25" t="str">
        <f t="shared" si="1"/>
        <v>Naples</v>
      </c>
      <c r="Q22" s="25" t="str">
        <f t="shared" si="2"/>
        <v>Relais sul Mare Boutique Hotel, Naples, Italy</v>
      </c>
      <c r="R22" s="25" t="str">
        <f>VLOOKUP(A22,'Travel Times'!$A$1:$E$1000,4,0)</f>
        <v>39 mins</v>
      </c>
      <c r="S22" s="25" t="str">
        <f>VLOOKUP(A22,'Travel Times'!$A$1:$E$1000,5,0)</f>
        <v>23 mins</v>
      </c>
    </row>
    <row r="23">
      <c r="A23" s="19" t="s">
        <v>416</v>
      </c>
      <c r="B23" s="19" t="str">
        <f t="shared" si="3"/>
        <v>Naples</v>
      </c>
      <c r="C23" s="19" t="s">
        <v>408</v>
      </c>
      <c r="D23" s="19" t="s">
        <v>409</v>
      </c>
      <c r="E23" s="19" t="s">
        <v>417</v>
      </c>
      <c r="F23" s="19" t="s">
        <v>418</v>
      </c>
      <c r="G23" s="19" t="s">
        <v>419</v>
      </c>
      <c r="H23" s="19" t="s">
        <v>413</v>
      </c>
      <c r="I23" s="19" t="s">
        <v>420</v>
      </c>
      <c r="J23" s="19" t="s">
        <v>421</v>
      </c>
      <c r="K23" s="19">
        <f>IFERROR(__xludf.DUMMYFUNCTION("SPLIT(J23,"", "")"),40.8497752)</f>
        <v>40.8497752</v>
      </c>
      <c r="L23" s="19">
        <f>IFERROR(__xludf.DUMMYFUNCTION("""COMPUTED_VALUE"""),14.2632371)</f>
        <v>14.2632371</v>
      </c>
      <c r="M23" s="24" t="str">
        <f t="shared" si="4"/>
        <v>https://www.google.com/maps/search/L%E2%80%99Antica%20Pizzeria%20da%20Michele%20%28Naples%29%2C%2021%2C%20Italy</v>
      </c>
      <c r="N23" s="24" t="s">
        <v>397</v>
      </c>
      <c r="O23" s="19" t="s">
        <v>398</v>
      </c>
      <c r="P23" s="25" t="str">
        <f t="shared" si="1"/>
        <v>Naples</v>
      </c>
      <c r="Q23" s="25" t="str">
        <f t="shared" si="2"/>
        <v>Relais sul Mare Boutique Hotel, Naples, Italy</v>
      </c>
      <c r="R23" s="25" t="str">
        <f>VLOOKUP(A23,'Travel Times'!$A$1:$E$1000,4,0)</f>
        <v>39 mins</v>
      </c>
      <c r="S23" s="25" t="str">
        <f>VLOOKUP(A23,'Travel Times'!$A$1:$E$1000,5,0)</f>
        <v>13 mins</v>
      </c>
    </row>
    <row r="24">
      <c r="A24" s="19" t="s">
        <v>422</v>
      </c>
      <c r="B24" s="19" t="str">
        <f t="shared" si="3"/>
        <v>Naples</v>
      </c>
      <c r="C24" s="19" t="s">
        <v>423</v>
      </c>
      <c r="D24" s="19" t="s">
        <v>222</v>
      </c>
      <c r="E24" s="19" t="s">
        <v>424</v>
      </c>
      <c r="F24" s="19" t="s">
        <v>425</v>
      </c>
      <c r="G24" s="19" t="s">
        <v>426</v>
      </c>
      <c r="H24" s="19" t="s">
        <v>427</v>
      </c>
      <c r="I24" s="19" t="s">
        <v>428</v>
      </c>
      <c r="J24" s="19" t="s">
        <v>429</v>
      </c>
      <c r="K24" s="19">
        <f>IFERROR(__xludf.DUMMYFUNCTION("SPLIT(J24,"", "")"),40.8496856)</f>
        <v>40.8496856</v>
      </c>
      <c r="L24" s="19">
        <f>IFERROR(__xludf.DUMMYFUNCTION("""COMPUTED_VALUE"""),14.2589603)</f>
        <v>14.2589603</v>
      </c>
      <c r="M24" s="24" t="str">
        <f t="shared" si="4"/>
        <v>https://www.google.com/maps/search/Gay%E2%80%91Odin%20%28Naples%29%2C%2021%2C%20Italy</v>
      </c>
      <c r="N24" s="24" t="s">
        <v>397</v>
      </c>
      <c r="O24" s="19" t="s">
        <v>398</v>
      </c>
      <c r="P24" s="25" t="str">
        <f t="shared" si="1"/>
        <v>Naples</v>
      </c>
      <c r="Q24" s="25" t="str">
        <f t="shared" si="2"/>
        <v>Relais sul Mare Boutique Hotel, Naples, Italy</v>
      </c>
      <c r="R24" s="25" t="str">
        <f>VLOOKUP(A24,'Travel Times'!$A$1:$E$1000,4,0)</f>
        <v>44 mins</v>
      </c>
      <c r="S24" s="25" t="str">
        <f>VLOOKUP(A24,'Travel Times'!$A$1:$E$1000,5,0)</f>
        <v>11 mins</v>
      </c>
    </row>
    <row r="25">
      <c r="A25" s="19" t="s">
        <v>430</v>
      </c>
      <c r="B25" s="19" t="str">
        <f t="shared" si="3"/>
        <v>Capri</v>
      </c>
      <c r="C25" s="19" t="s">
        <v>133</v>
      </c>
      <c r="D25" s="19" t="s">
        <v>390</v>
      </c>
      <c r="E25" s="19" t="s">
        <v>431</v>
      </c>
      <c r="F25" s="19" t="s">
        <v>432</v>
      </c>
      <c r="G25" s="19" t="s">
        <v>393</v>
      </c>
      <c r="H25" s="28">
        <v>3000.0</v>
      </c>
      <c r="I25" s="19" t="s">
        <v>433</v>
      </c>
      <c r="J25" s="19" t="s">
        <v>434</v>
      </c>
      <c r="K25" s="19">
        <f>IFERROR(__xludf.DUMMYFUNCTION("SPLIT(J25,"", "")"),40.5461439)</f>
        <v>40.5461439</v>
      </c>
      <c r="L25" s="19">
        <f>IFERROR(__xludf.DUMMYFUNCTION("""COMPUTED_VALUE"""),14.2495769)</f>
        <v>14.2495769</v>
      </c>
      <c r="M25" s="24" t="str">
        <f t="shared" si="4"/>
        <v>https://www.google.com/maps/search/Hotel%20Villa%20Brunella%20%28Capri%29%2C%2021%2C%20Italy</v>
      </c>
      <c r="N25" s="24" t="s">
        <v>397</v>
      </c>
      <c r="O25" s="19" t="s">
        <v>398</v>
      </c>
      <c r="P25" s="25" t="str">
        <f t="shared" si="1"/>
        <v>Capri</v>
      </c>
      <c r="Q25" s="25" t="str">
        <f t="shared" si="2"/>
        <v>La Residenza, Capri, Italy</v>
      </c>
      <c r="R25" s="25" t="str">
        <f>VLOOKUP(A25,'Travel Times'!$A$1:$E$1000,4,0)</f>
        <v>12 mins</v>
      </c>
      <c r="S25" s="25" t="str">
        <f>VLOOKUP(A25,'Travel Times'!$A$1:$E$1000,5,0)</f>
        <v>1 min</v>
      </c>
    </row>
    <row r="26">
      <c r="A26" s="19" t="s">
        <v>435</v>
      </c>
      <c r="B26" s="19" t="str">
        <f t="shared" si="3"/>
        <v>Capri</v>
      </c>
      <c r="C26" s="19" t="s">
        <v>133</v>
      </c>
      <c r="D26" s="19" t="s">
        <v>390</v>
      </c>
      <c r="E26" s="19" t="s">
        <v>436</v>
      </c>
      <c r="F26" s="19" t="s">
        <v>437</v>
      </c>
      <c r="G26" s="19" t="s">
        <v>393</v>
      </c>
      <c r="H26" s="28">
        <v>3000.0</v>
      </c>
      <c r="I26" s="19" t="s">
        <v>438</v>
      </c>
      <c r="J26" s="19" t="s">
        <v>439</v>
      </c>
      <c r="K26" s="19">
        <f>IFERROR(__xludf.DUMMYFUNCTION("SPLIT(J26,"", "")"),40.5498793999999)</f>
        <v>40.5498794</v>
      </c>
      <c r="L26" s="19">
        <f>IFERROR(__xludf.DUMMYFUNCTION("""COMPUTED_VALUE"""),14.2401657)</f>
        <v>14.2401657</v>
      </c>
      <c r="M26" s="24" t="str">
        <f t="shared" si="4"/>
        <v>https://www.google.com/maps/search/JK%20Place%20Capri%20%28Capri%29%2C%2021%2C%20Italy</v>
      </c>
      <c r="N26" s="24" t="s">
        <v>397</v>
      </c>
      <c r="O26" s="19" t="s">
        <v>398</v>
      </c>
      <c r="P26" s="25" t="str">
        <f t="shared" si="1"/>
        <v>Capri</v>
      </c>
      <c r="Q26" s="25" t="str">
        <f t="shared" si="2"/>
        <v>La Residenza, Capri, Italy</v>
      </c>
      <c r="R26" s="25" t="str">
        <f>VLOOKUP(A26,'Travel Times'!$A$1:$E$1000,4,0)</f>
        <v>23 mins</v>
      </c>
      <c r="S26" s="25" t="str">
        <f>VLOOKUP(A26,'Travel Times'!$A$1:$E$1000,5,0)</f>
        <v>8 mins</v>
      </c>
    </row>
    <row r="27">
      <c r="A27" s="19" t="s">
        <v>45</v>
      </c>
      <c r="B27" s="19" t="str">
        <f t="shared" si="3"/>
        <v>Capri</v>
      </c>
      <c r="C27" s="19" t="s">
        <v>440</v>
      </c>
      <c r="D27" s="19" t="s">
        <v>441</v>
      </c>
      <c r="E27" s="19" t="s">
        <v>442</v>
      </c>
      <c r="F27" s="19" t="s">
        <v>443</v>
      </c>
      <c r="G27" s="19" t="s">
        <v>444</v>
      </c>
      <c r="H27" s="19" t="s">
        <v>445</v>
      </c>
      <c r="I27" s="19" t="s">
        <v>446</v>
      </c>
      <c r="J27" s="19" t="s">
        <v>447</v>
      </c>
      <c r="K27" s="19">
        <f>IFERROR(__xludf.DUMMYFUNCTION("SPLIT(J27,"", "")"),40.5434303)</f>
        <v>40.5434303</v>
      </c>
      <c r="L27" s="19">
        <f>IFERROR(__xludf.DUMMYFUNCTION("""COMPUTED_VALUE"""),14.2523999)</f>
        <v>14.2523999</v>
      </c>
      <c r="M27" s="24" t="str">
        <f t="shared" si="4"/>
        <v>https://www.google.com/maps/search/La%20Fontelina%20%28Capri%29%2C%2021%2C%20Italy</v>
      </c>
      <c r="N27" s="24" t="s">
        <v>397</v>
      </c>
      <c r="O27" s="19" t="s">
        <v>398</v>
      </c>
      <c r="P27" s="25" t="str">
        <f t="shared" si="1"/>
        <v>Capri</v>
      </c>
      <c r="Q27" s="25" t="str">
        <f t="shared" si="2"/>
        <v>La Residenza, Capri, Italy</v>
      </c>
      <c r="R27" s="25" t="str">
        <f>VLOOKUP(A27,'Travel Times'!$A$1:$E$1000,4,0)</f>
        <v>23 mins</v>
      </c>
      <c r="S27" s="25" t="str">
        <f>VLOOKUP(A27,'Travel Times'!$A$1:$E$1000,5,0)</f>
        <v>1 min</v>
      </c>
    </row>
    <row r="28">
      <c r="A28" s="19" t="s">
        <v>448</v>
      </c>
      <c r="B28" s="19" t="str">
        <f t="shared" si="3"/>
        <v>Capri</v>
      </c>
      <c r="C28" s="19" t="s">
        <v>408</v>
      </c>
      <c r="D28" s="19" t="s">
        <v>270</v>
      </c>
      <c r="E28" s="19" t="s">
        <v>449</v>
      </c>
      <c r="F28" s="19" t="s">
        <v>450</v>
      </c>
      <c r="G28" s="19" t="s">
        <v>451</v>
      </c>
      <c r="H28" s="19" t="s">
        <v>452</v>
      </c>
      <c r="I28" s="19" t="s">
        <v>453</v>
      </c>
      <c r="J28" s="19" t="s">
        <v>454</v>
      </c>
      <c r="K28" s="19">
        <f>IFERROR(__xludf.DUMMYFUNCTION("SPLIT(J28,"", "")"),40.5409493)</f>
        <v>40.5409493</v>
      </c>
      <c r="L28" s="19">
        <f>IFERROR(__xludf.DUMMYFUNCTION("""COMPUTED_VALUE"""),14.2102105)</f>
        <v>14.2102105</v>
      </c>
      <c r="M28" s="24" t="str">
        <f t="shared" si="4"/>
        <v>https://www.google.com/maps/search/Da%20Gelsomina%20%28Capri%29%2C%2021%2C%20Italy</v>
      </c>
      <c r="N28" s="24" t="s">
        <v>397</v>
      </c>
      <c r="O28" s="19" t="s">
        <v>398</v>
      </c>
      <c r="P28" s="25" t="str">
        <f t="shared" si="1"/>
        <v>Capri</v>
      </c>
      <c r="Q28" s="25" t="str">
        <f t="shared" si="2"/>
        <v>La Residenza, Capri, Italy</v>
      </c>
      <c r="R28" s="25" t="str">
        <f>VLOOKUP(A28,'Travel Times'!$A$1:$E$1000,4,0)</f>
        <v>1 hour 14 mins</v>
      </c>
      <c r="S28" s="25" t="str">
        <f>VLOOKUP(A28,'Travel Times'!$A$1:$E$1000,5,0)</f>
        <v>19 mins</v>
      </c>
    </row>
    <row r="29">
      <c r="A29" s="19" t="s">
        <v>455</v>
      </c>
      <c r="B29" s="19" t="str">
        <f t="shared" si="3"/>
        <v>Ravello</v>
      </c>
      <c r="C29" s="19" t="s">
        <v>133</v>
      </c>
      <c r="D29" s="19" t="s">
        <v>390</v>
      </c>
      <c r="E29" s="19" t="s">
        <v>456</v>
      </c>
      <c r="F29" s="19" t="s">
        <v>457</v>
      </c>
      <c r="G29" s="19" t="s">
        <v>458</v>
      </c>
      <c r="H29" s="28">
        <v>5000.0</v>
      </c>
      <c r="I29" s="19" t="s">
        <v>459</v>
      </c>
      <c r="J29" s="19" t="s">
        <v>460</v>
      </c>
      <c r="K29" s="19">
        <f>IFERROR(__xludf.DUMMYFUNCTION("SPLIT(J29,"", "")"),40.6514101)</f>
        <v>40.6514101</v>
      </c>
      <c r="L29" s="19">
        <f>IFERROR(__xludf.DUMMYFUNCTION("""COMPUTED_VALUE"""),14.6129723)</f>
        <v>14.6129723</v>
      </c>
      <c r="M29" s="24" t="str">
        <f t="shared" si="4"/>
        <v>https://www.google.com/maps/search/Belmond%20Hotel%20Caruso%20%28Ravello%29%2C%2021%2C%20Italy</v>
      </c>
      <c r="N29" s="24" t="s">
        <v>397</v>
      </c>
      <c r="O29" s="19" t="s">
        <v>398</v>
      </c>
      <c r="P29" s="25" t="str">
        <f t="shared" si="1"/>
        <v>Ravello</v>
      </c>
      <c r="Q29" s="25" t="str">
        <f t="shared" si="2"/>
        <v>Hotel Rufolo, Ravello, Italy</v>
      </c>
      <c r="R29" s="25" t="str">
        <f>VLOOKUP(A29,'Travel Times'!$A$1:$E$1000,4,0)</f>
        <v>8 mins</v>
      </c>
      <c r="S29" s="25" t="str">
        <f>VLOOKUP(A29,'Travel Times'!$A$1:$E$1000,5,0)</f>
        <v>3 mins</v>
      </c>
    </row>
    <row r="30">
      <c r="A30" s="19" t="s">
        <v>461</v>
      </c>
      <c r="B30" s="19" t="s">
        <v>266</v>
      </c>
      <c r="C30" s="19" t="s">
        <v>133</v>
      </c>
      <c r="D30" s="19" t="s">
        <v>390</v>
      </c>
      <c r="E30" s="19" t="s">
        <v>462</v>
      </c>
      <c r="F30" s="19" t="s">
        <v>463</v>
      </c>
      <c r="G30" s="19" t="s">
        <v>464</v>
      </c>
      <c r="H30" s="19" t="s">
        <v>465</v>
      </c>
      <c r="I30" s="19" t="s">
        <v>466</v>
      </c>
      <c r="J30" s="19" t="s">
        <v>467</v>
      </c>
      <c r="K30" s="19">
        <f>IFERROR(__xludf.DUMMYFUNCTION("SPLIT(J30,"", "")"),40.6468104)</f>
        <v>40.6468104</v>
      </c>
      <c r="L30" s="19">
        <f>IFERROR(__xludf.DUMMYFUNCTION("""COMPUTED_VALUE"""),14.6103006)</f>
        <v>14.6103006</v>
      </c>
      <c r="M30" s="24" t="str">
        <f t="shared" si="4"/>
        <v>https://www.google.com/maps/search/Villa%20Maria%20Ravello%2C%2021%2C%20Italy</v>
      </c>
      <c r="N30" s="24" t="s">
        <v>397</v>
      </c>
      <c r="O30" s="19" t="s">
        <v>398</v>
      </c>
      <c r="P30" s="25" t="str">
        <f t="shared" si="1"/>
        <v>Ravello</v>
      </c>
      <c r="Q30" s="25" t="str">
        <f t="shared" si="2"/>
        <v>Hotel Rufolo, Ravello, Italy</v>
      </c>
      <c r="R30" s="25" t="str">
        <f>VLOOKUP(A30,'Travel Times'!$A$1:$E$1000,4,0)</f>
        <v>4 mins</v>
      </c>
      <c r="S30" s="25" t="str">
        <f>VLOOKUP(A30,'Travel Times'!$A$1:$E$1000,5,0)</f>
        <v>1 min</v>
      </c>
    </row>
    <row r="31">
      <c r="A31" s="19" t="s">
        <v>468</v>
      </c>
      <c r="B31" s="19" t="str">
        <f t="shared" ref="B31:B43" si="5">substitute(RIGHT(A31,len(A31)-FIND("(",A31)),")","")</f>
        <v>Ravello</v>
      </c>
      <c r="C31" s="19" t="s">
        <v>469</v>
      </c>
      <c r="D31" s="19" t="s">
        <v>470</v>
      </c>
      <c r="E31" s="19" t="s">
        <v>471</v>
      </c>
      <c r="F31" s="19" t="s">
        <v>472</v>
      </c>
      <c r="G31" s="19" t="s">
        <v>473</v>
      </c>
      <c r="H31" s="19" t="s">
        <v>474</v>
      </c>
      <c r="I31" s="19" t="s">
        <v>475</v>
      </c>
      <c r="J31" s="19" t="s">
        <v>476</v>
      </c>
      <c r="K31" s="19">
        <f>IFERROR(__xludf.DUMMYFUNCTION("SPLIT(J31,"", "")"),40.6491825)</f>
        <v>40.6491825</v>
      </c>
      <c r="L31" s="19">
        <f>IFERROR(__xludf.DUMMYFUNCTION("""COMPUTED_VALUE"""),14.6116481)</f>
        <v>14.6116481</v>
      </c>
      <c r="M31" s="24" t="str">
        <f t="shared" si="4"/>
        <v>https://www.google.com/maps/search/Villa%20Rufolo%20%28Ravello%29%2C%2021%2C%20Italy</v>
      </c>
      <c r="N31" s="24" t="s">
        <v>397</v>
      </c>
      <c r="O31" s="19" t="s">
        <v>398</v>
      </c>
      <c r="P31" s="25" t="str">
        <f t="shared" si="1"/>
        <v>Ravello</v>
      </c>
      <c r="Q31" s="25" t="str">
        <f t="shared" si="2"/>
        <v>Hotel Rufolo, Ravello, Italy</v>
      </c>
      <c r="R31" s="25" t="str">
        <f>VLOOKUP(A31,'Travel Times'!$A$1:$E$1000,4,0)</f>
        <v>2 mins</v>
      </c>
      <c r="S31" s="25" t="str">
        <f>VLOOKUP(A31,'Travel Times'!$A$1:$E$1000,5,0)</f>
        <v>1 min</v>
      </c>
    </row>
    <row r="32">
      <c r="A32" s="19" t="s">
        <v>477</v>
      </c>
      <c r="B32" s="19" t="str">
        <f t="shared" si="5"/>
        <v>Wine Experience, Ravello</v>
      </c>
      <c r="C32" s="19" t="s">
        <v>478</v>
      </c>
      <c r="D32" s="19" t="s">
        <v>479</v>
      </c>
      <c r="E32" s="19" t="s">
        <v>480</v>
      </c>
      <c r="F32" s="19" t="s">
        <v>481</v>
      </c>
      <c r="G32" s="19" t="s">
        <v>482</v>
      </c>
      <c r="H32" s="19" t="s">
        <v>445</v>
      </c>
      <c r="I32" s="19" t="s">
        <v>483</v>
      </c>
      <c r="J32" s="19" t="s">
        <v>484</v>
      </c>
      <c r="K32" s="19">
        <f>IFERROR(__xludf.DUMMYFUNCTION("SPLIT(J32,"", "")"),40.6515802)</f>
        <v>40.6515802</v>
      </c>
      <c r="L32" s="19">
        <f>IFERROR(__xludf.DUMMYFUNCTION("""COMPUTED_VALUE"""),14.6140606)</f>
        <v>14.6140606</v>
      </c>
      <c r="M32" s="24" t="str">
        <f t="shared" si="4"/>
        <v>https://www.google.com/maps/search/Wagner%20Tours%20%28Wine%20Experience%2C%20Ravello%29%2C%2021%2C%20Italy</v>
      </c>
      <c r="N32" s="24" t="s">
        <v>397</v>
      </c>
      <c r="O32" s="19" t="s">
        <v>398</v>
      </c>
      <c r="P32" s="25" t="str">
        <f t="shared" si="1"/>
        <v>Ravello</v>
      </c>
      <c r="Q32" s="25" t="str">
        <f t="shared" si="2"/>
        <v>Hotel Rufolo, Ravello, Italy</v>
      </c>
      <c r="R32" s="25" t="str">
        <f>VLOOKUP(A32,'Travel Times'!$A$1:$E$1000,4,0)</f>
        <v>1 min</v>
      </c>
      <c r="S32" s="25" t="str">
        <f>VLOOKUP(A32,'Travel Times'!$A$1:$E$1000,5,0)</f>
        <v>1 min</v>
      </c>
    </row>
    <row r="33">
      <c r="A33" s="19" t="s">
        <v>485</v>
      </c>
      <c r="B33" s="19" t="str">
        <f t="shared" si="5"/>
        <v>Ravello</v>
      </c>
      <c r="C33" s="19" t="s">
        <v>408</v>
      </c>
      <c r="D33" s="19" t="s">
        <v>291</v>
      </c>
      <c r="E33" s="19" t="s">
        <v>486</v>
      </c>
      <c r="F33" s="19" t="s">
        <v>487</v>
      </c>
      <c r="G33" s="19" t="s">
        <v>488</v>
      </c>
      <c r="H33" s="19" t="s">
        <v>489</v>
      </c>
      <c r="I33" s="19" t="s">
        <v>490</v>
      </c>
      <c r="J33" s="19" t="s">
        <v>491</v>
      </c>
      <c r="K33" s="19">
        <f>IFERROR(__xludf.DUMMYFUNCTION("SPLIT(J33,"", "")"),40.6504913)</f>
        <v>40.6504913</v>
      </c>
      <c r="L33" s="19">
        <f>IFERROR(__xludf.DUMMYFUNCTION("""COMPUTED_VALUE"""),14.6129035)</f>
        <v>14.6129035</v>
      </c>
      <c r="M33" s="24" t="str">
        <f t="shared" si="4"/>
        <v>https://www.google.com/maps/search/Rossellinis%20at%20Palazzo%20Avino%20%28Ravello%29%2C%2021%2C%20Italy</v>
      </c>
      <c r="N33" s="24" t="s">
        <v>397</v>
      </c>
      <c r="O33" s="19" t="s">
        <v>398</v>
      </c>
      <c r="P33" s="25" t="str">
        <f t="shared" si="1"/>
        <v>Ravello</v>
      </c>
      <c r="Q33" s="25" t="str">
        <f t="shared" si="2"/>
        <v>Hotel Rufolo, Ravello, Italy</v>
      </c>
      <c r="R33" s="25" t="str">
        <f>VLOOKUP(A33,'Travel Times'!$A$1:$E$1000,4,0)</f>
        <v>8 mins</v>
      </c>
      <c r="S33" s="25" t="str">
        <f>VLOOKUP(A33,'Travel Times'!$A$1:$E$1000,5,0)</f>
        <v>2 mins</v>
      </c>
    </row>
    <row r="34">
      <c r="A34" s="19" t="s">
        <v>492</v>
      </c>
      <c r="B34" s="19" t="str">
        <f t="shared" si="5"/>
        <v>Praiano</v>
      </c>
      <c r="C34" s="19" t="s">
        <v>133</v>
      </c>
      <c r="D34" s="19" t="s">
        <v>390</v>
      </c>
      <c r="E34" s="19" t="s">
        <v>493</v>
      </c>
      <c r="F34" s="19" t="s">
        <v>494</v>
      </c>
      <c r="G34" s="19" t="s">
        <v>495</v>
      </c>
      <c r="H34" s="19" t="s">
        <v>496</v>
      </c>
      <c r="I34" s="19" t="s">
        <v>497</v>
      </c>
      <c r="J34" s="19" t="s">
        <v>498</v>
      </c>
      <c r="K34" s="19">
        <f>IFERROR(__xludf.DUMMYFUNCTION("SPLIT(J34,"", "")"),40.6117319)</f>
        <v>40.6117319</v>
      </c>
      <c r="L34" s="19">
        <f>IFERROR(__xludf.DUMMYFUNCTION("""COMPUTED_VALUE"""),14.5335099)</f>
        <v>14.5335099</v>
      </c>
      <c r="M34" s="24" t="str">
        <f t="shared" si="4"/>
        <v>https://www.google.com/maps/search/Casa%20Angelina%20%28Praiano%29%2C%2021%2C%20Italy</v>
      </c>
      <c r="N34" s="24" t="s">
        <v>397</v>
      </c>
      <c r="O34" s="19" t="s">
        <v>398</v>
      </c>
      <c r="P34" s="25" t="str">
        <f t="shared" si="1"/>
        <v>Positano</v>
      </c>
      <c r="Q34" s="25" t="str">
        <f t="shared" si="2"/>
        <v>Hotel Savoia, Positano, Italy</v>
      </c>
      <c r="R34" s="25" t="str">
        <f>VLOOKUP(A34,'Travel Times'!$A$1:$E$1000,4,0)</f>
        <v>1 hour 21 mins</v>
      </c>
      <c r="S34" s="25" t="str">
        <f>VLOOKUP(A34,'Travel Times'!$A$1:$E$1000,5,0)</f>
        <v>13 mins</v>
      </c>
    </row>
    <row r="35">
      <c r="A35" s="19" t="s">
        <v>499</v>
      </c>
      <c r="B35" s="19" t="str">
        <f t="shared" si="5"/>
        <v>Conca dei Marini</v>
      </c>
      <c r="C35" s="19" t="s">
        <v>133</v>
      </c>
      <c r="D35" s="19" t="s">
        <v>390</v>
      </c>
      <c r="E35" s="19" t="s">
        <v>500</v>
      </c>
      <c r="F35" s="19" t="s">
        <v>501</v>
      </c>
      <c r="G35" s="19" t="s">
        <v>502</v>
      </c>
      <c r="H35" s="28">
        <v>3000.0</v>
      </c>
      <c r="I35" s="19" t="s">
        <v>503</v>
      </c>
      <c r="J35" s="19" t="s">
        <v>504</v>
      </c>
      <c r="K35" s="19">
        <f>IFERROR(__xludf.DUMMYFUNCTION("SPLIT(J35,"", "")"),40.6163236)</f>
        <v>40.6163236</v>
      </c>
      <c r="L35" s="19">
        <f>IFERROR(__xludf.DUMMYFUNCTION("""COMPUTED_VALUE"""),14.5753912)</f>
        <v>14.5753912</v>
      </c>
      <c r="M35" s="24" t="str">
        <f t="shared" si="4"/>
        <v>https://www.google.com/maps/search/Monastero%20Santa%20Rosa%20Hotel%20%28Conca%20dei%20Marini%29%2C%2021%2C%20Italy</v>
      </c>
      <c r="N35" s="24" t="s">
        <v>397</v>
      </c>
      <c r="O35" s="19" t="s">
        <v>398</v>
      </c>
      <c r="P35" s="25" t="str">
        <f t="shared" si="1"/>
        <v>Positano</v>
      </c>
      <c r="Q35" s="25" t="str">
        <f t="shared" si="2"/>
        <v>Hotel Savoia, Positano, Italy</v>
      </c>
      <c r="R35" s="25" t="str">
        <f>VLOOKUP(A35,'Travel Times'!$A$1:$E$1000,4,0)</f>
        <v>4 hours 42 mins</v>
      </c>
      <c r="S35" s="25" t="str">
        <f>VLOOKUP(A35,'Travel Times'!$A$1:$E$1000,5,0)</f>
        <v>39 mins</v>
      </c>
    </row>
    <row r="36">
      <c r="A36" s="19" t="s">
        <v>505</v>
      </c>
      <c r="B36" s="19" t="str">
        <f t="shared" si="5"/>
        <v>Praiano</v>
      </c>
      <c r="C36" s="19" t="s">
        <v>440</v>
      </c>
      <c r="D36" s="19" t="s">
        <v>441</v>
      </c>
      <c r="E36" s="19" t="s">
        <v>506</v>
      </c>
      <c r="F36" s="19" t="s">
        <v>507</v>
      </c>
      <c r="G36" s="19" t="s">
        <v>508</v>
      </c>
      <c r="H36" s="19" t="s">
        <v>445</v>
      </c>
      <c r="I36" s="19" t="s">
        <v>509</v>
      </c>
      <c r="J36" s="19" t="s">
        <v>510</v>
      </c>
      <c r="K36" s="19">
        <f>IFERROR(__xludf.DUMMYFUNCTION("SPLIT(J36,"", "")"),40.6134729)</f>
        <v>40.6134729</v>
      </c>
      <c r="L36" s="19">
        <f>IFERROR(__xludf.DUMMYFUNCTION("""COMPUTED_VALUE"""),14.5394424)</f>
        <v>14.5394424</v>
      </c>
      <c r="M36" s="24" t="str">
        <f t="shared" si="4"/>
        <v>https://www.google.com/maps/search/One%20Fire%20Beach%20Club%20%28Praiano%29%2C%2021%2C%20Italy</v>
      </c>
      <c r="N36" s="24" t="s">
        <v>397</v>
      </c>
      <c r="O36" s="19" t="s">
        <v>398</v>
      </c>
      <c r="P36" s="25" t="str">
        <f t="shared" si="1"/>
        <v>Positano</v>
      </c>
      <c r="Q36" s="25" t="str">
        <f t="shared" si="2"/>
        <v>Hotel Savoia, Positano, Italy</v>
      </c>
      <c r="R36" s="25" t="str">
        <f>VLOOKUP(A36,'Travel Times'!$A$1:$E$1000,4,0)</f>
        <v>1 hour 27 mins</v>
      </c>
      <c r="S36" s="25" t="str">
        <f>VLOOKUP(A36,'Travel Times'!$A$1:$E$1000,5,0)</f>
        <v>13 mins</v>
      </c>
    </row>
    <row r="37">
      <c r="A37" s="19" t="s">
        <v>511</v>
      </c>
      <c r="B37" s="19" t="str">
        <f t="shared" si="5"/>
        <v>Praiano</v>
      </c>
      <c r="C37" s="19" t="s">
        <v>440</v>
      </c>
      <c r="D37" s="19" t="s">
        <v>441</v>
      </c>
      <c r="E37" s="19" t="s">
        <v>512</v>
      </c>
      <c r="F37" s="19" t="s">
        <v>513</v>
      </c>
      <c r="G37" s="19" t="s">
        <v>508</v>
      </c>
      <c r="H37" s="19" t="s">
        <v>403</v>
      </c>
      <c r="I37" s="19" t="s">
        <v>514</v>
      </c>
      <c r="J37" s="19" t="s">
        <v>515</v>
      </c>
      <c r="K37" s="19">
        <f>IFERROR(__xludf.DUMMYFUNCTION("SPLIT(J37,"", "")"),40.6138362)</f>
        <v>40.6138362</v>
      </c>
      <c r="L37" s="19">
        <f>IFERROR(__xludf.DUMMYFUNCTION("""COMPUTED_VALUE"""),14.5204525)</f>
        <v>14.5204525</v>
      </c>
      <c r="M37" s="24" t="str">
        <f t="shared" si="4"/>
        <v>https://www.google.com/maps/search/Lido%20degli%20Artisti%20%28Praiano%29%2C%2021%2C%20Italy</v>
      </c>
      <c r="N37" s="24" t="s">
        <v>397</v>
      </c>
      <c r="O37" s="19" t="s">
        <v>398</v>
      </c>
      <c r="P37" s="25" t="str">
        <f t="shared" si="1"/>
        <v>Positano</v>
      </c>
      <c r="Q37" s="25" t="str">
        <f t="shared" si="2"/>
        <v>Hotel Savoia, Positano, Italy</v>
      </c>
      <c r="R37" s="25" t="str">
        <f>VLOOKUP(A37,'Travel Times'!$A$1:$E$1000,4,0)</f>
        <v>4 hours 40 mins</v>
      </c>
      <c r="S37" s="25" t="str">
        <f>VLOOKUP(A37,'Travel Times'!$A$1:$E$1000,5,0)</f>
        <v>38 mins</v>
      </c>
    </row>
    <row r="38">
      <c r="A38" s="19" t="s">
        <v>516</v>
      </c>
      <c r="B38" s="19" t="str">
        <f t="shared" si="5"/>
        <v>Monastero Santa Rosa</v>
      </c>
      <c r="C38" s="19" t="s">
        <v>408</v>
      </c>
      <c r="D38" s="19" t="s">
        <v>291</v>
      </c>
      <c r="E38" s="19" t="s">
        <v>517</v>
      </c>
      <c r="F38" s="19" t="s">
        <v>518</v>
      </c>
      <c r="G38" s="19" t="s">
        <v>519</v>
      </c>
      <c r="H38" s="19" t="s">
        <v>445</v>
      </c>
      <c r="I38" s="19" t="s">
        <v>503</v>
      </c>
      <c r="J38" s="19" t="s">
        <v>504</v>
      </c>
      <c r="K38" s="19">
        <f>IFERROR(__xludf.DUMMYFUNCTION("SPLIT(J38,"", "")"),40.6163236)</f>
        <v>40.6163236</v>
      </c>
      <c r="L38" s="19">
        <f>IFERROR(__xludf.DUMMYFUNCTION("""COMPUTED_VALUE"""),14.5753912)</f>
        <v>14.5753912</v>
      </c>
      <c r="M38" s="24" t="str">
        <f t="shared" si="4"/>
        <v>https://www.google.com/maps/search/Il%20Refettorio%20%28Monastero%20Santa%20Rosa%29%2C%2021%2C%20Italy</v>
      </c>
      <c r="N38" s="24" t="s">
        <v>397</v>
      </c>
      <c r="O38" s="19" t="s">
        <v>398</v>
      </c>
      <c r="P38" s="25" t="str">
        <f t="shared" si="1"/>
        <v>Positano</v>
      </c>
      <c r="Q38" s="25" t="str">
        <f t="shared" si="2"/>
        <v>Hotel Savoia, Positano, Italy</v>
      </c>
      <c r="R38" s="25" t="str">
        <f>VLOOKUP(A38,'Travel Times'!$A$1:$E$1000,4,0)</f>
        <v>4 hours 42 mins</v>
      </c>
      <c r="S38" s="25" t="str">
        <f>VLOOKUP(A38,'Travel Times'!$A$1:$E$1000,5,0)</f>
        <v>39 mins</v>
      </c>
    </row>
    <row r="39">
      <c r="A39" s="19" t="s">
        <v>520</v>
      </c>
      <c r="B39" s="19" t="str">
        <f t="shared" si="5"/>
        <v>Praiano</v>
      </c>
      <c r="C39" s="19" t="s">
        <v>408</v>
      </c>
      <c r="D39" s="19" t="s">
        <v>521</v>
      </c>
      <c r="E39" s="19" t="s">
        <v>522</v>
      </c>
      <c r="F39" s="19" t="s">
        <v>523</v>
      </c>
      <c r="G39" s="19" t="s">
        <v>451</v>
      </c>
      <c r="H39" s="19" t="s">
        <v>524</v>
      </c>
      <c r="I39" s="19" t="s">
        <v>525</v>
      </c>
      <c r="J39" s="19" t="s">
        <v>526</v>
      </c>
      <c r="K39" s="19">
        <f>IFERROR(__xludf.DUMMYFUNCTION("SPLIT(J39,"", "")"),40.6087328)</f>
        <v>40.6087328</v>
      </c>
      <c r="L39" s="19">
        <f>IFERROR(__xludf.DUMMYFUNCTION("""COMPUTED_VALUE"""),14.5268626)</f>
        <v>14.5268626</v>
      </c>
      <c r="M39" s="24" t="str">
        <f t="shared" si="4"/>
        <v>https://www.google.com/maps/search/Kasai%20%28Praiano%29%2C%2021%2C%20Italy</v>
      </c>
      <c r="N39" s="24" t="s">
        <v>397</v>
      </c>
      <c r="O39" s="19" t="s">
        <v>398</v>
      </c>
      <c r="P39" s="25" t="str">
        <f t="shared" si="1"/>
        <v>Positano</v>
      </c>
      <c r="Q39" s="25" t="str">
        <f t="shared" si="2"/>
        <v>Hotel Savoia, Positano, Italy</v>
      </c>
      <c r="R39" s="25" t="str">
        <f>VLOOKUP(A39,'Travel Times'!$A$1:$E$1000,4,0)</f>
        <v>1 hour 42 mins</v>
      </c>
      <c r="S39" s="25" t="str">
        <f>VLOOKUP(A39,'Travel Times'!$A$1:$E$1000,5,0)</f>
        <v>15 mins</v>
      </c>
    </row>
    <row r="40">
      <c r="A40" s="19" t="s">
        <v>57</v>
      </c>
      <c r="B40" s="19" t="str">
        <f t="shared" si="5"/>
        <v>Positano</v>
      </c>
      <c r="C40" s="19" t="s">
        <v>527</v>
      </c>
      <c r="D40" s="19" t="s">
        <v>528</v>
      </c>
      <c r="E40" s="19" t="s">
        <v>529</v>
      </c>
      <c r="F40" s="19" t="s">
        <v>530</v>
      </c>
      <c r="G40" s="19" t="s">
        <v>531</v>
      </c>
      <c r="H40" s="19" t="s">
        <v>532</v>
      </c>
      <c r="I40" s="19" t="s">
        <v>533</v>
      </c>
      <c r="J40" s="19" t="s">
        <v>534</v>
      </c>
      <c r="K40" s="19">
        <f>IFERROR(__xludf.DUMMYFUNCTION("SPLIT(J40,"", "")"),40.6332256)</f>
        <v>40.6332256</v>
      </c>
      <c r="L40" s="19">
        <f>IFERROR(__xludf.DUMMYFUNCTION("""COMPUTED_VALUE"""),14.4930882)</f>
        <v>14.4930882</v>
      </c>
      <c r="M40" s="24" t="str">
        <f t="shared" si="4"/>
        <v>https://www.google.com/maps/search/La%20Tagliata%20%28Positano%29%2C%2021%2C%20Italy</v>
      </c>
      <c r="N40" s="24" t="s">
        <v>397</v>
      </c>
      <c r="O40" s="19" t="s">
        <v>398</v>
      </c>
      <c r="P40" s="25" t="str">
        <f t="shared" si="1"/>
        <v>Positano</v>
      </c>
      <c r="Q40" s="25" t="str">
        <f t="shared" si="2"/>
        <v>Hotel Savoia, Positano, Italy</v>
      </c>
      <c r="R40" s="25" t="str">
        <f>VLOOKUP(A40,'Travel Times'!$A$1:$E$1000,4,0)</f>
        <v>47 mins</v>
      </c>
      <c r="S40" s="25" t="str">
        <f>VLOOKUP(A40,'Travel Times'!$A$1:$E$1000,5,0)</f>
        <v>17 mins</v>
      </c>
    </row>
    <row r="41">
      <c r="A41" s="19" t="s">
        <v>535</v>
      </c>
      <c r="B41" s="19" t="str">
        <f t="shared" si="5"/>
        <v>Ravello</v>
      </c>
      <c r="C41" s="19" t="s">
        <v>527</v>
      </c>
      <c r="D41" s="19" t="s">
        <v>528</v>
      </c>
      <c r="E41" s="19" t="s">
        <v>536</v>
      </c>
      <c r="F41" s="19" t="s">
        <v>537</v>
      </c>
      <c r="G41" s="19" t="s">
        <v>538</v>
      </c>
      <c r="H41" s="19" t="s">
        <v>445</v>
      </c>
      <c r="I41" s="19" t="s">
        <v>539</v>
      </c>
      <c r="J41" s="19" t="s">
        <v>540</v>
      </c>
      <c r="K41" s="19">
        <f>IFERROR(__xludf.DUMMYFUNCTION("SPLIT(J41,"", "")"),40.6484534)</f>
        <v>40.6484534</v>
      </c>
      <c r="L41" s="19">
        <f>IFERROR(__xludf.DUMMYFUNCTION("""COMPUTED_VALUE"""),14.6118254)</f>
        <v>14.6118254</v>
      </c>
      <c r="M41" s="24" t="str">
        <f t="shared" si="4"/>
        <v>https://www.google.com/maps/search/Mamma%20Agata%20%28Ravello%29%2C%2021%2C%20Italy</v>
      </c>
      <c r="N41" s="24" t="s">
        <v>397</v>
      </c>
      <c r="O41" s="19" t="s">
        <v>398</v>
      </c>
      <c r="P41" s="25" t="str">
        <f t="shared" si="1"/>
        <v>Ravello</v>
      </c>
      <c r="Q41" s="25" t="str">
        <f t="shared" si="2"/>
        <v>Hotel Rufolo, Ravello, Italy</v>
      </c>
      <c r="R41" s="25" t="str">
        <f>VLOOKUP(A41,'Travel Times'!$A$1:$E$1000,4,0)</f>
        <v>12 mins</v>
      </c>
      <c r="S41" s="25" t="str">
        <f>VLOOKUP(A41,'Travel Times'!$A$1:$E$1000,5,0)</f>
        <v>5 mins</v>
      </c>
    </row>
    <row r="42">
      <c r="A42" s="19" t="s">
        <v>541</v>
      </c>
      <c r="B42" s="19" t="str">
        <f t="shared" si="5"/>
        <v>Positano</v>
      </c>
      <c r="C42" s="19" t="s">
        <v>542</v>
      </c>
      <c r="D42" s="19" t="s">
        <v>543</v>
      </c>
      <c r="E42" s="19" t="s">
        <v>544</v>
      </c>
      <c r="F42" s="19" t="s">
        <v>545</v>
      </c>
      <c r="G42" s="19" t="s">
        <v>546</v>
      </c>
      <c r="H42" s="19" t="s">
        <v>452</v>
      </c>
      <c r="I42" s="19" t="s">
        <v>547</v>
      </c>
      <c r="J42" s="19" t="s">
        <v>548</v>
      </c>
      <c r="K42" s="19">
        <f>IFERROR(__xludf.DUMMYFUNCTION("SPLIT(J42,"", "")"),40.6287893)</f>
        <v>40.6287893</v>
      </c>
      <c r="L42" s="19">
        <f>IFERROR(__xludf.DUMMYFUNCTION("""COMPUTED_VALUE"""),14.4815807)</f>
        <v>14.4815807</v>
      </c>
      <c r="M42" s="24" t="str">
        <f t="shared" si="4"/>
        <v>https://www.google.com/maps/search/Franco%E2%80%99s%20Bar%20%28Positano%29%2C%2021%2C%20Italy</v>
      </c>
      <c r="N42" s="24" t="s">
        <v>397</v>
      </c>
      <c r="O42" s="19" t="s">
        <v>398</v>
      </c>
      <c r="P42" s="25" t="str">
        <f t="shared" si="1"/>
        <v>Positano</v>
      </c>
      <c r="Q42" s="25" t="str">
        <f t="shared" si="2"/>
        <v>Hotel Savoia, Positano, Italy</v>
      </c>
      <c r="R42" s="25" t="str">
        <f>VLOOKUP(A42,'Travel Times'!$A$1:$E$1000,4,0)</f>
        <v>3 mins</v>
      </c>
      <c r="S42" s="25" t="str">
        <f>VLOOKUP(A42,'Travel Times'!$A$1:$E$1000,5,0)</f>
        <v>1 min</v>
      </c>
    </row>
    <row r="43">
      <c r="A43" s="19" t="s">
        <v>69</v>
      </c>
      <c r="B43" s="19" t="str">
        <f t="shared" si="5"/>
        <v>Praiano</v>
      </c>
      <c r="C43" s="19" t="s">
        <v>408</v>
      </c>
      <c r="D43" s="19" t="s">
        <v>291</v>
      </c>
      <c r="E43" s="19" t="s">
        <v>549</v>
      </c>
      <c r="F43" s="19" t="s">
        <v>550</v>
      </c>
      <c r="G43" s="19" t="s">
        <v>551</v>
      </c>
      <c r="H43" s="19" t="s">
        <v>532</v>
      </c>
      <c r="I43" s="19" t="s">
        <v>552</v>
      </c>
      <c r="J43" s="19" t="s">
        <v>553</v>
      </c>
      <c r="K43" s="19">
        <f>IFERROR(__xludf.DUMMYFUNCTION("SPLIT(J43,"", "")"),40.6142489)</f>
        <v>40.6142489</v>
      </c>
      <c r="L43" s="19">
        <f>IFERROR(__xludf.DUMMYFUNCTION("""COMPUTED_VALUE"""),14.5392983)</f>
        <v>14.5392983</v>
      </c>
      <c r="M43" s="24" t="str">
        <f t="shared" si="4"/>
        <v>https://www.google.com/maps/search/Ristorante%20Il%20Pirata%20%28Praiano%29%2C%2021%2C%20Italy</v>
      </c>
      <c r="N43" s="24" t="s">
        <v>397</v>
      </c>
      <c r="O43" s="19" t="s">
        <v>398</v>
      </c>
      <c r="P43" s="25" t="str">
        <f t="shared" si="1"/>
        <v>Positano</v>
      </c>
      <c r="Q43" s="25" t="str">
        <f t="shared" si="2"/>
        <v>Hotel Savoia, Positano, Italy</v>
      </c>
      <c r="R43" s="25" t="str">
        <f>VLOOKUP(A43,'Travel Times'!$A$1:$E$1000,4,0)</f>
        <v>2 hours 0 mins</v>
      </c>
      <c r="S43" s="25" t="str">
        <f>VLOOKUP(A43,'Travel Times'!$A$1:$E$1000,5,0)</f>
        <v>20 mins</v>
      </c>
    </row>
    <row r="44">
      <c r="A44" s="19" t="s">
        <v>554</v>
      </c>
      <c r="B44" s="19" t="s">
        <v>255</v>
      </c>
      <c r="C44" s="19" t="s">
        <v>133</v>
      </c>
      <c r="D44" s="19" t="s">
        <v>390</v>
      </c>
      <c r="E44" s="19" t="s">
        <v>555</v>
      </c>
      <c r="F44" s="19" t="s">
        <v>556</v>
      </c>
      <c r="G44" s="19" t="s">
        <v>557</v>
      </c>
      <c r="H44" s="28">
        <v>2000.0</v>
      </c>
      <c r="I44" s="19" t="s">
        <v>558</v>
      </c>
      <c r="J44" s="19" t="s">
        <v>559</v>
      </c>
      <c r="K44" s="19">
        <v>40.8403661</v>
      </c>
      <c r="L44" s="19">
        <v>14.2558654</v>
      </c>
      <c r="M44" s="29" t="str">
        <f t="shared" ref="M44:M109" si="6">HYPERLINK("https://www.google.com/maps/search/"&amp;ENCODEURL(A44))</f>
        <v>https://www.google.com/maps/search/Romeo%20Hotel%20Naples</v>
      </c>
      <c r="N44" s="24" t="s">
        <v>560</v>
      </c>
      <c r="O44" s="19" t="s">
        <v>561</v>
      </c>
      <c r="P44" s="25" t="str">
        <f t="shared" si="1"/>
        <v>Naples</v>
      </c>
      <c r="Q44" s="25" t="str">
        <f t="shared" si="2"/>
        <v>Relais sul Mare Boutique Hotel, Naples, Italy</v>
      </c>
      <c r="R44" s="25" t="str">
        <f>VLOOKUP(A44,'Travel Times'!$A$1:$E$1000,4,0)</f>
        <v>19 mins</v>
      </c>
      <c r="S44" s="25" t="str">
        <f>VLOOKUP(A44,'Travel Times'!$A$1:$E$1000,5,0)</f>
        <v>9 mins</v>
      </c>
    </row>
    <row r="45">
      <c r="A45" s="19" t="s">
        <v>562</v>
      </c>
      <c r="B45" s="19" t="s">
        <v>255</v>
      </c>
      <c r="C45" s="19" t="s">
        <v>563</v>
      </c>
      <c r="D45" s="19" t="s">
        <v>470</v>
      </c>
      <c r="E45" s="19" t="s">
        <v>564</v>
      </c>
      <c r="F45" s="19" t="s">
        <v>565</v>
      </c>
      <c r="G45" s="19" t="s">
        <v>566</v>
      </c>
      <c r="H45" s="28">
        <v>2000.0</v>
      </c>
      <c r="I45" s="19" t="s">
        <v>567</v>
      </c>
      <c r="J45" s="19" t="s">
        <v>568</v>
      </c>
      <c r="K45" s="19">
        <v>40.8517746</v>
      </c>
      <c r="L45" s="19">
        <v>14.2681244</v>
      </c>
      <c r="M45" s="29" t="str">
        <f t="shared" si="6"/>
        <v>https://www.google.com/maps/search/Spaccanapoli</v>
      </c>
      <c r="N45" s="24" t="s">
        <v>560</v>
      </c>
      <c r="O45" s="19" t="s">
        <v>561</v>
      </c>
      <c r="P45" s="25" t="str">
        <f t="shared" si="1"/>
        <v>Naples</v>
      </c>
      <c r="Q45" s="25" t="str">
        <f t="shared" si="2"/>
        <v>Relais sul Mare Boutique Hotel, Naples, Italy</v>
      </c>
      <c r="R45" s="25" t="str">
        <f>VLOOKUP(A45,'Travel Times'!$A$1:$E$1000,4,0)</f>
        <v>41 mins</v>
      </c>
      <c r="S45" s="25" t="str">
        <f>VLOOKUP(A45,'Travel Times'!$A$1:$E$1000,5,0)</f>
        <v>14 mins</v>
      </c>
    </row>
    <row r="46">
      <c r="A46" s="19" t="s">
        <v>569</v>
      </c>
      <c r="B46" s="19" t="s">
        <v>255</v>
      </c>
      <c r="C46" s="19" t="s">
        <v>570</v>
      </c>
      <c r="D46" s="19" t="s">
        <v>571</v>
      </c>
      <c r="E46" s="19" t="s">
        <v>572</v>
      </c>
      <c r="F46" s="19" t="s">
        <v>573</v>
      </c>
      <c r="G46" s="19" t="s">
        <v>574</v>
      </c>
      <c r="H46" s="19" t="s">
        <v>445</v>
      </c>
      <c r="I46" s="19" t="s">
        <v>575</v>
      </c>
      <c r="J46" s="19" t="s">
        <v>576</v>
      </c>
      <c r="K46" s="19">
        <v>40.8531893</v>
      </c>
      <c r="L46" s="19">
        <v>14.2603334</v>
      </c>
      <c r="M46" s="29" t="str">
        <f t="shared" si="6"/>
        <v>https://www.google.com/maps/search/Naples%20Cathedral%20%28Duomo%29</v>
      </c>
      <c r="N46" s="24" t="s">
        <v>560</v>
      </c>
      <c r="O46" s="19" t="s">
        <v>561</v>
      </c>
      <c r="P46" s="25" t="str">
        <f t="shared" si="1"/>
        <v>Naples</v>
      </c>
      <c r="Q46" s="25" t="str">
        <f t="shared" si="2"/>
        <v>Relais sul Mare Boutique Hotel, Naples, Italy</v>
      </c>
      <c r="R46" s="25" t="str">
        <f>VLOOKUP(A46,'Travel Times'!$A$1:$E$1000,4,0)</f>
        <v>43 mins</v>
      </c>
      <c r="S46" s="25" t="str">
        <f>VLOOKUP(A46,'Travel Times'!$A$1:$E$1000,5,0)</f>
        <v>13 mins</v>
      </c>
    </row>
    <row r="47">
      <c r="A47" s="19" t="s">
        <v>577</v>
      </c>
      <c r="B47" s="19" t="s">
        <v>255</v>
      </c>
      <c r="C47" s="19" t="s">
        <v>578</v>
      </c>
      <c r="D47" s="19" t="s">
        <v>579</v>
      </c>
      <c r="E47" s="19" t="s">
        <v>580</v>
      </c>
      <c r="F47" s="19" t="s">
        <v>581</v>
      </c>
      <c r="G47" s="19" t="s">
        <v>582</v>
      </c>
      <c r="H47" s="28">
        <v>600.0</v>
      </c>
      <c r="I47" s="19" t="s">
        <v>583</v>
      </c>
      <c r="J47" s="19" t="s">
        <v>584</v>
      </c>
      <c r="K47" s="19">
        <v>40.8500804</v>
      </c>
      <c r="L47" s="19">
        <v>14.2578099</v>
      </c>
      <c r="M47" s="29" t="str">
        <f t="shared" si="6"/>
        <v>https://www.google.com/maps/search/San%20Gregorio%20Armeno</v>
      </c>
      <c r="N47" s="24" t="s">
        <v>560</v>
      </c>
      <c r="O47" s="19" t="s">
        <v>561</v>
      </c>
      <c r="P47" s="25" t="str">
        <f t="shared" si="1"/>
        <v>Naples</v>
      </c>
      <c r="Q47" s="25" t="str">
        <f t="shared" si="2"/>
        <v>Relais sul Mare Boutique Hotel, Naples, Italy</v>
      </c>
      <c r="R47" s="25" t="str">
        <f>VLOOKUP(A47,'Travel Times'!$A$1:$E$1000,4,0)</f>
        <v>39 mins</v>
      </c>
      <c r="S47" s="25" t="str">
        <f>VLOOKUP(A47,'Travel Times'!$A$1:$E$1000,5,0)</f>
        <v>18 mins</v>
      </c>
    </row>
    <row r="48">
      <c r="A48" s="19" t="s">
        <v>585</v>
      </c>
      <c r="B48" s="19" t="s">
        <v>255</v>
      </c>
      <c r="C48" s="19" t="s">
        <v>586</v>
      </c>
      <c r="D48" s="19" t="s">
        <v>470</v>
      </c>
      <c r="E48" s="19" t="s">
        <v>587</v>
      </c>
      <c r="F48" s="19" t="s">
        <v>588</v>
      </c>
      <c r="G48" s="19" t="s">
        <v>566</v>
      </c>
      <c r="H48" s="28">
        <v>1200.0</v>
      </c>
      <c r="I48" s="19" t="s">
        <v>589</v>
      </c>
      <c r="J48" s="19" t="s">
        <v>590</v>
      </c>
      <c r="K48" s="19">
        <v>40.8469688</v>
      </c>
      <c r="L48" s="19">
        <v>14.2517718</v>
      </c>
      <c r="M48" s="29" t="str">
        <f t="shared" si="6"/>
        <v>https://www.google.com/maps/search/Piazza%20del%20Ges%C3%B9%20Nuovo</v>
      </c>
      <c r="N48" s="24" t="s">
        <v>560</v>
      </c>
      <c r="O48" s="19" t="s">
        <v>561</v>
      </c>
      <c r="P48" s="25" t="str">
        <f t="shared" si="1"/>
        <v>Naples</v>
      </c>
      <c r="Q48" s="25" t="str">
        <f t="shared" si="2"/>
        <v>Relais sul Mare Boutique Hotel, Naples, Italy</v>
      </c>
      <c r="R48" s="25" t="str">
        <f>VLOOKUP(A48,'Travel Times'!$A$1:$E$1000,4,0)</f>
        <v>30 mins</v>
      </c>
      <c r="S48" s="25" t="str">
        <f>VLOOKUP(A48,'Travel Times'!$A$1:$E$1000,5,0)</f>
        <v>9 mins</v>
      </c>
    </row>
    <row r="49">
      <c r="A49" s="19" t="s">
        <v>591</v>
      </c>
      <c r="B49" s="19" t="s">
        <v>255</v>
      </c>
      <c r="C49" s="19" t="s">
        <v>408</v>
      </c>
      <c r="D49" s="19" t="s">
        <v>521</v>
      </c>
      <c r="E49" s="19" t="s">
        <v>592</v>
      </c>
      <c r="F49" s="19" t="s">
        <v>593</v>
      </c>
      <c r="G49" s="19" t="s">
        <v>594</v>
      </c>
      <c r="H49" s="19" t="s">
        <v>452</v>
      </c>
      <c r="I49" s="19" t="s">
        <v>595</v>
      </c>
      <c r="J49" s="19" t="s">
        <v>596</v>
      </c>
      <c r="K49" s="19">
        <v>40.8472376</v>
      </c>
      <c r="L49" s="19">
        <v>14.2571481</v>
      </c>
      <c r="M49" s="29" t="str">
        <f t="shared" si="6"/>
        <v>https://www.google.com/maps/search/La%20Locanda%20Ges%C3%B9%20Vecchio</v>
      </c>
      <c r="N49" s="24" t="s">
        <v>560</v>
      </c>
      <c r="O49" s="19" t="s">
        <v>561</v>
      </c>
      <c r="P49" s="25" t="str">
        <f t="shared" si="1"/>
        <v>Naples</v>
      </c>
      <c r="Q49" s="25" t="str">
        <f t="shared" si="2"/>
        <v>Relais sul Mare Boutique Hotel, Naples, Italy</v>
      </c>
      <c r="R49" s="25" t="str">
        <f>VLOOKUP(A49,'Travel Times'!$A$1:$E$1000,4,0)</f>
        <v>38 mins</v>
      </c>
      <c r="S49" s="25" t="str">
        <f>VLOOKUP(A49,'Travel Times'!$A$1:$E$1000,5,0)</f>
        <v>12 mins</v>
      </c>
    </row>
    <row r="50">
      <c r="A50" s="19" t="s">
        <v>597</v>
      </c>
      <c r="B50" s="19" t="s">
        <v>255</v>
      </c>
      <c r="C50" s="19" t="s">
        <v>598</v>
      </c>
      <c r="D50" s="19" t="s">
        <v>291</v>
      </c>
      <c r="E50" s="19" t="s">
        <v>599</v>
      </c>
      <c r="F50" s="19" t="s">
        <v>600</v>
      </c>
      <c r="G50" s="19" t="s">
        <v>601</v>
      </c>
      <c r="H50" s="19" t="s">
        <v>445</v>
      </c>
      <c r="I50" s="19" t="s">
        <v>602</v>
      </c>
      <c r="J50" s="19" t="s">
        <v>603</v>
      </c>
      <c r="K50" s="19">
        <v>40.8483036</v>
      </c>
      <c r="L50" s="19">
        <v>14.254577</v>
      </c>
      <c r="M50" s="29" t="str">
        <f t="shared" si="6"/>
        <v>https://www.google.com/maps/search/Palazzo%20Petrucci</v>
      </c>
      <c r="N50" s="24" t="s">
        <v>560</v>
      </c>
      <c r="O50" s="19" t="s">
        <v>561</v>
      </c>
      <c r="P50" s="25" t="str">
        <f t="shared" si="1"/>
        <v>Naples</v>
      </c>
      <c r="Q50" s="25" t="str">
        <f t="shared" si="2"/>
        <v>Relais sul Mare Boutique Hotel, Naples, Italy</v>
      </c>
      <c r="R50" s="25" t="str">
        <f>VLOOKUP(A50,'Travel Times'!$A$1:$E$1000,4,0)</f>
        <v>34 mins</v>
      </c>
      <c r="S50" s="25" t="str">
        <f>VLOOKUP(A50,'Travel Times'!$A$1:$E$1000,5,0)</f>
        <v>9 mins</v>
      </c>
    </row>
    <row r="51">
      <c r="A51" s="19" t="s">
        <v>604</v>
      </c>
      <c r="B51" s="19" t="s">
        <v>255</v>
      </c>
      <c r="C51" s="19" t="s">
        <v>598</v>
      </c>
      <c r="D51" s="19" t="s">
        <v>605</v>
      </c>
      <c r="E51" s="19" t="s">
        <v>606</v>
      </c>
      <c r="F51" s="19" t="s">
        <v>607</v>
      </c>
      <c r="G51" s="19" t="s">
        <v>601</v>
      </c>
      <c r="H51" s="28">
        <v>2000.0</v>
      </c>
      <c r="I51" s="19" t="s">
        <v>608</v>
      </c>
      <c r="J51" s="19" t="s">
        <v>609</v>
      </c>
      <c r="K51" s="19">
        <v>40.8372389</v>
      </c>
      <c r="L51" s="19">
        <v>14.2313759</v>
      </c>
      <c r="M51" s="29" t="str">
        <f t="shared" si="6"/>
        <v>https://www.google.com/maps/search/Veritas</v>
      </c>
      <c r="N51" s="24" t="s">
        <v>560</v>
      </c>
      <c r="O51" s="19" t="s">
        <v>561</v>
      </c>
      <c r="P51" s="25" t="str">
        <f t="shared" si="1"/>
        <v>Naples</v>
      </c>
      <c r="Q51" s="25" t="str">
        <f t="shared" si="2"/>
        <v>Relais sul Mare Boutique Hotel, Naples, Italy</v>
      </c>
      <c r="R51" s="25" t="str">
        <f>VLOOKUP(A51,'Travel Times'!$A$1:$E$1000,4,0)</f>
        <v>37 mins</v>
      </c>
      <c r="S51" s="25" t="str">
        <f>VLOOKUP(A51,'Travel Times'!$A$1:$E$1000,5,0)</f>
        <v>10 mins</v>
      </c>
    </row>
    <row r="52">
      <c r="A52" s="19" t="s">
        <v>610</v>
      </c>
      <c r="B52" s="19" t="s">
        <v>255</v>
      </c>
      <c r="C52" s="19" t="s">
        <v>611</v>
      </c>
      <c r="D52" s="19" t="s">
        <v>521</v>
      </c>
      <c r="E52" s="19" t="s">
        <v>612</v>
      </c>
      <c r="F52" s="19" t="s">
        <v>613</v>
      </c>
      <c r="G52" s="19" t="s">
        <v>614</v>
      </c>
      <c r="H52" s="19" t="s">
        <v>532</v>
      </c>
      <c r="I52" s="19" t="s">
        <v>615</v>
      </c>
      <c r="J52" s="19" t="s">
        <v>616</v>
      </c>
      <c r="K52" s="19">
        <v>40.8535418</v>
      </c>
      <c r="L52" s="19">
        <v>14.2671748</v>
      </c>
      <c r="M52" s="29" t="str">
        <f t="shared" si="6"/>
        <v>https://www.google.com/maps/search/Mim%C3%AC%20alla%20Ferrovia</v>
      </c>
      <c r="N52" s="24" t="s">
        <v>560</v>
      </c>
      <c r="O52" s="19" t="s">
        <v>561</v>
      </c>
      <c r="P52" s="25" t="str">
        <f t="shared" si="1"/>
        <v>Naples</v>
      </c>
      <c r="Q52" s="25" t="str">
        <f t="shared" si="2"/>
        <v>Relais sul Mare Boutique Hotel, Naples, Italy</v>
      </c>
      <c r="R52" s="25" t="str">
        <f>VLOOKUP(A52,'Travel Times'!$A$1:$E$1000,4,0)</f>
        <v>46 mins</v>
      </c>
      <c r="S52" s="25" t="str">
        <f>VLOOKUP(A52,'Travel Times'!$A$1:$E$1000,5,0)</f>
        <v>14 mins</v>
      </c>
    </row>
    <row r="53">
      <c r="A53" s="19" t="s">
        <v>617</v>
      </c>
      <c r="B53" s="19" t="s">
        <v>255</v>
      </c>
      <c r="C53" s="19" t="s">
        <v>618</v>
      </c>
      <c r="D53" s="19" t="s">
        <v>247</v>
      </c>
      <c r="E53" s="19" t="s">
        <v>182</v>
      </c>
      <c r="F53" s="19" t="s">
        <v>619</v>
      </c>
      <c r="G53" s="19" t="s">
        <v>620</v>
      </c>
      <c r="H53" s="19" t="s">
        <v>452</v>
      </c>
      <c r="I53" s="19" t="s">
        <v>621</v>
      </c>
      <c r="J53" s="19" t="s">
        <v>622</v>
      </c>
      <c r="K53" s="19">
        <v>40.8367945</v>
      </c>
      <c r="L53" s="19">
        <v>14.248479</v>
      </c>
      <c r="M53" s="29" t="str">
        <f t="shared" si="6"/>
        <v>https://www.google.com/maps/search/Caff%C3%A8%20Gambrinus</v>
      </c>
      <c r="N53" s="24" t="s">
        <v>560</v>
      </c>
      <c r="O53" s="19" t="s">
        <v>561</v>
      </c>
      <c r="P53" s="25" t="str">
        <f t="shared" si="1"/>
        <v>Naples</v>
      </c>
      <c r="Q53" s="25" t="str">
        <f t="shared" si="2"/>
        <v>Relais sul Mare Boutique Hotel, Naples, Italy</v>
      </c>
      <c r="R53" s="25" t="str">
        <f>VLOOKUP(A53,'Travel Times'!$A$1:$E$1000,4,0)</f>
        <v>12 mins</v>
      </c>
      <c r="S53" s="25" t="str">
        <f>VLOOKUP(A53,'Travel Times'!$A$1:$E$1000,5,0)</f>
        <v>10 mins</v>
      </c>
    </row>
    <row r="54">
      <c r="A54" s="19" t="s">
        <v>623</v>
      </c>
      <c r="B54" s="19" t="s">
        <v>255</v>
      </c>
      <c r="C54" s="19" t="s">
        <v>624</v>
      </c>
      <c r="D54" s="19" t="s">
        <v>625</v>
      </c>
      <c r="E54" s="19" t="s">
        <v>626</v>
      </c>
      <c r="F54" s="19" t="s">
        <v>627</v>
      </c>
      <c r="G54" s="19" t="s">
        <v>628</v>
      </c>
      <c r="H54" s="28">
        <v>2000.0</v>
      </c>
      <c r="I54" s="19" t="s">
        <v>629</v>
      </c>
      <c r="J54" s="19" t="s">
        <v>630</v>
      </c>
      <c r="K54" s="19">
        <v>40.8482509</v>
      </c>
      <c r="L54" s="19">
        <v>14.2549272</v>
      </c>
      <c r="M54" s="29" t="str">
        <f t="shared" si="6"/>
        <v>https://www.google.com/maps/search/Scaturchio</v>
      </c>
      <c r="N54" s="24" t="s">
        <v>560</v>
      </c>
      <c r="O54" s="19" t="s">
        <v>561</v>
      </c>
      <c r="P54" s="25" t="str">
        <f t="shared" si="1"/>
        <v>Naples</v>
      </c>
      <c r="Q54" s="25" t="str">
        <f t="shared" si="2"/>
        <v>Relais sul Mare Boutique Hotel, Naples, Italy</v>
      </c>
      <c r="R54" s="25" t="str">
        <f>VLOOKUP(A54,'Travel Times'!$A$1:$E$1000,4,0)</f>
        <v>44 mins</v>
      </c>
      <c r="S54" s="25" t="str">
        <f>VLOOKUP(A54,'Travel Times'!$A$1:$E$1000,5,0)</f>
        <v>11 mins</v>
      </c>
    </row>
    <row r="55">
      <c r="A55" s="19" t="s">
        <v>631</v>
      </c>
      <c r="B55" s="19" t="s">
        <v>255</v>
      </c>
      <c r="C55" s="19" t="s">
        <v>632</v>
      </c>
      <c r="D55" s="19" t="s">
        <v>470</v>
      </c>
      <c r="E55" s="19" t="s">
        <v>633</v>
      </c>
      <c r="F55" s="19" t="s">
        <v>634</v>
      </c>
      <c r="G55" s="19" t="s">
        <v>635</v>
      </c>
      <c r="H55" s="19" t="s">
        <v>445</v>
      </c>
      <c r="I55" s="19" t="s">
        <v>636</v>
      </c>
      <c r="J55" s="19" t="s">
        <v>637</v>
      </c>
      <c r="K55" s="19">
        <v>40.8534745</v>
      </c>
      <c r="L55" s="19">
        <v>14.2512744</v>
      </c>
      <c r="M55" s="29" t="str">
        <f t="shared" si="6"/>
        <v>https://www.google.com/maps/search/National%20Archaeological%20Museum</v>
      </c>
      <c r="N55" s="24" t="s">
        <v>560</v>
      </c>
      <c r="O55" s="19" t="s">
        <v>561</v>
      </c>
      <c r="P55" s="25" t="str">
        <f t="shared" si="1"/>
        <v>Naples</v>
      </c>
      <c r="Q55" s="25" t="str">
        <f t="shared" si="2"/>
        <v>Relais sul Mare Boutique Hotel, Naples, Italy</v>
      </c>
      <c r="R55" s="25" t="str">
        <f>VLOOKUP(A55,'Travel Times'!$A$1:$E$1000,4,0)</f>
        <v>39 mins</v>
      </c>
      <c r="S55" s="25" t="str">
        <f>VLOOKUP(A55,'Travel Times'!$A$1:$E$1000,5,0)</f>
        <v>20 mins</v>
      </c>
    </row>
    <row r="56">
      <c r="A56" s="19" t="s">
        <v>638</v>
      </c>
      <c r="B56" s="19" t="s">
        <v>255</v>
      </c>
      <c r="C56" s="19" t="s">
        <v>639</v>
      </c>
      <c r="D56" s="19" t="s">
        <v>640</v>
      </c>
      <c r="E56" s="19" t="s">
        <v>641</v>
      </c>
      <c r="F56" s="19" t="s">
        <v>642</v>
      </c>
      <c r="G56" s="19" t="s">
        <v>643</v>
      </c>
      <c r="H56" s="19" t="s">
        <v>644</v>
      </c>
      <c r="I56" s="19" t="s">
        <v>645</v>
      </c>
      <c r="J56" s="19" t="s">
        <v>646</v>
      </c>
      <c r="K56" s="19">
        <v>40.8369443</v>
      </c>
      <c r="L56" s="19">
        <v>14.2494124</v>
      </c>
      <c r="M56" s="29" t="str">
        <f t="shared" si="6"/>
        <v>https://www.google.com/maps/search/Palazzo%20Reale</v>
      </c>
      <c r="N56" s="24" t="s">
        <v>560</v>
      </c>
      <c r="O56" s="19" t="s">
        <v>561</v>
      </c>
      <c r="P56" s="25" t="str">
        <f t="shared" si="1"/>
        <v>Naples</v>
      </c>
      <c r="Q56" s="25" t="str">
        <f t="shared" si="2"/>
        <v>Relais sul Mare Boutique Hotel, Naples, Italy</v>
      </c>
      <c r="R56" s="25" t="str">
        <f>VLOOKUP(A56,'Travel Times'!$A$1:$E$1000,4,0)</f>
        <v>13 mins</v>
      </c>
      <c r="S56" s="25" t="str">
        <f>VLOOKUP(A56,'Travel Times'!$A$1:$E$1000,5,0)</f>
        <v>10 mins</v>
      </c>
    </row>
    <row r="57">
      <c r="A57" s="19" t="s">
        <v>647</v>
      </c>
      <c r="B57" s="19" t="s">
        <v>255</v>
      </c>
      <c r="C57" s="19" t="s">
        <v>648</v>
      </c>
      <c r="D57" s="19" t="s">
        <v>649</v>
      </c>
      <c r="E57" s="19" t="s">
        <v>650</v>
      </c>
      <c r="F57" s="19" t="s">
        <v>651</v>
      </c>
      <c r="G57" s="19" t="s">
        <v>652</v>
      </c>
      <c r="H57" s="28">
        <v>500.0</v>
      </c>
      <c r="I57" s="19" t="s">
        <v>653</v>
      </c>
      <c r="J57" s="19" t="s">
        <v>654</v>
      </c>
      <c r="K57" s="19">
        <v>40.8279173</v>
      </c>
      <c r="L57" s="19">
        <v>14.2484676</v>
      </c>
      <c r="M57" s="29" t="str">
        <f t="shared" si="6"/>
        <v>https://www.google.com/maps/search/Castel%20dell%27Ovo</v>
      </c>
      <c r="N57" s="24" t="s">
        <v>560</v>
      </c>
      <c r="O57" s="19" t="s">
        <v>561</v>
      </c>
      <c r="P57" s="25" t="str">
        <f t="shared" si="1"/>
        <v>Naples</v>
      </c>
      <c r="Q57" s="25" t="str">
        <f t="shared" si="2"/>
        <v>Relais sul Mare Boutique Hotel, Naples, Italy</v>
      </c>
      <c r="R57" s="25" t="str">
        <f>VLOOKUP(A57,'Travel Times'!$A$1:$E$1000,4,0)</f>
        <v>10 mins</v>
      </c>
      <c r="S57" s="25" t="str">
        <f>VLOOKUP(A57,'Travel Times'!$A$1:$E$1000,5,0)</f>
        <v>8 mins</v>
      </c>
    </row>
    <row r="58">
      <c r="A58" s="19" t="s">
        <v>655</v>
      </c>
      <c r="B58" s="19" t="s">
        <v>255</v>
      </c>
      <c r="C58" s="19" t="s">
        <v>656</v>
      </c>
      <c r="D58" s="19" t="s">
        <v>657</v>
      </c>
      <c r="E58" s="19" t="s">
        <v>658</v>
      </c>
      <c r="F58" s="19" t="s">
        <v>659</v>
      </c>
      <c r="G58" s="19" t="s">
        <v>660</v>
      </c>
      <c r="H58" s="28">
        <v>2500.0</v>
      </c>
      <c r="I58" s="19" t="s">
        <v>661</v>
      </c>
      <c r="J58" s="19" t="s">
        <v>662</v>
      </c>
      <c r="K58" s="19">
        <v>40.8428212</v>
      </c>
      <c r="L58" s="19">
        <v>14.248904</v>
      </c>
      <c r="M58" s="29" t="str">
        <f t="shared" si="6"/>
        <v>https://www.google.com/maps/search/Via%20Toledo</v>
      </c>
      <c r="N58" s="24" t="s">
        <v>560</v>
      </c>
      <c r="O58" s="19" t="s">
        <v>561</v>
      </c>
      <c r="P58" s="25" t="str">
        <f t="shared" si="1"/>
        <v>Naples</v>
      </c>
      <c r="Q58" s="25" t="str">
        <f t="shared" si="2"/>
        <v>Relais sul Mare Boutique Hotel, Naples, Italy</v>
      </c>
      <c r="R58" s="25" t="str">
        <f>VLOOKUP(A58,'Travel Times'!$A$1:$E$1000,4,0)</f>
        <v>21 mins</v>
      </c>
      <c r="S58" s="25" t="str">
        <f>VLOOKUP(A58,'Travel Times'!$A$1:$E$1000,5,0)</f>
        <v>12 mins</v>
      </c>
    </row>
    <row r="59">
      <c r="A59" s="19" t="s">
        <v>663</v>
      </c>
      <c r="B59" s="19" t="s">
        <v>255</v>
      </c>
      <c r="C59" s="19" t="s">
        <v>664</v>
      </c>
      <c r="D59" s="19" t="s">
        <v>470</v>
      </c>
      <c r="E59" s="19" t="s">
        <v>665</v>
      </c>
      <c r="F59" s="19" t="s">
        <v>666</v>
      </c>
      <c r="G59" s="19" t="s">
        <v>660</v>
      </c>
      <c r="H59" s="19" t="s">
        <v>445</v>
      </c>
      <c r="I59" s="19" t="s">
        <v>667</v>
      </c>
      <c r="J59" s="19" t="s">
        <v>668</v>
      </c>
      <c r="K59" s="19">
        <v>40.8385287</v>
      </c>
      <c r="L59" s="19">
        <v>14.2494785</v>
      </c>
      <c r="M59" s="29" t="str">
        <f t="shared" si="6"/>
        <v>https://www.google.com/maps/search/Galleria%20Umberto%20I</v>
      </c>
      <c r="N59" s="24" t="s">
        <v>560</v>
      </c>
      <c r="O59" s="19" t="s">
        <v>561</v>
      </c>
      <c r="P59" s="25" t="str">
        <f t="shared" si="1"/>
        <v>Naples</v>
      </c>
      <c r="Q59" s="25" t="str">
        <f t="shared" si="2"/>
        <v>Relais sul Mare Boutique Hotel, Naples, Italy</v>
      </c>
      <c r="R59" s="25" t="str">
        <f>VLOOKUP(A59,'Travel Times'!$A$1:$E$1000,4,0)</f>
        <v>15 mins</v>
      </c>
      <c r="S59" s="25" t="str">
        <f>VLOOKUP(A59,'Travel Times'!$A$1:$E$1000,5,0)</f>
        <v>9 mins</v>
      </c>
    </row>
    <row r="60">
      <c r="A60" s="19" t="s">
        <v>669</v>
      </c>
      <c r="B60" s="19" t="s">
        <v>255</v>
      </c>
      <c r="C60" s="19" t="s">
        <v>670</v>
      </c>
      <c r="D60" s="19" t="s">
        <v>390</v>
      </c>
      <c r="E60" s="19" t="s">
        <v>671</v>
      </c>
      <c r="F60" s="19" t="s">
        <v>672</v>
      </c>
      <c r="G60" s="19" t="s">
        <v>673</v>
      </c>
      <c r="H60" s="28">
        <v>1200.0</v>
      </c>
      <c r="I60" s="19" t="s">
        <v>674</v>
      </c>
      <c r="J60" s="19" t="s">
        <v>675</v>
      </c>
      <c r="K60" s="19">
        <v>40.8575357</v>
      </c>
      <c r="L60" s="19">
        <v>14.2540213</v>
      </c>
      <c r="M60" s="29" t="str">
        <f t="shared" si="6"/>
        <v>https://www.google.com/maps/search/Casa%20d%27Anna%20ai%20Cristallini</v>
      </c>
      <c r="N60" s="24" t="s">
        <v>560</v>
      </c>
      <c r="O60" s="19" t="s">
        <v>561</v>
      </c>
      <c r="P60" s="25" t="str">
        <f t="shared" si="1"/>
        <v>Naples</v>
      </c>
      <c r="Q60" s="25" t="str">
        <f t="shared" si="2"/>
        <v>Relais sul Mare Boutique Hotel, Naples, Italy</v>
      </c>
      <c r="R60" s="25" t="str">
        <f>VLOOKUP(A60,'Travel Times'!$A$1:$E$1000,4,0)</f>
        <v>49 mins</v>
      </c>
      <c r="S60" s="25" t="str">
        <f>VLOOKUP(A60,'Travel Times'!$A$1:$E$1000,5,0)</f>
        <v>18 mins</v>
      </c>
    </row>
    <row r="61">
      <c r="A61" s="19" t="s">
        <v>676</v>
      </c>
      <c r="B61" s="19" t="s">
        <v>255</v>
      </c>
      <c r="C61" s="19" t="s">
        <v>677</v>
      </c>
      <c r="D61" s="19" t="s">
        <v>678</v>
      </c>
      <c r="E61" s="19" t="s">
        <v>679</v>
      </c>
      <c r="F61" s="19" t="s">
        <v>680</v>
      </c>
      <c r="G61" s="19" t="s">
        <v>681</v>
      </c>
      <c r="H61" s="28">
        <v>2000.0</v>
      </c>
      <c r="I61" s="19" t="s">
        <v>682</v>
      </c>
      <c r="J61" s="19" t="s">
        <v>683</v>
      </c>
      <c r="K61" s="19">
        <v>40.8382086</v>
      </c>
      <c r="L61" s="19">
        <v>14.2546268</v>
      </c>
      <c r="M61" s="29" t="str">
        <f t="shared" si="6"/>
        <v>https://www.google.com/maps/search/Naples%20Molo%20Beverello</v>
      </c>
      <c r="N61" s="24" t="s">
        <v>560</v>
      </c>
      <c r="O61" s="19" t="s">
        <v>561</v>
      </c>
      <c r="P61" s="25" t="str">
        <f t="shared" si="1"/>
        <v>Naples</v>
      </c>
      <c r="Q61" s="25" t="str">
        <f t="shared" si="2"/>
        <v>Relais sul Mare Boutique Hotel, Naples, Italy</v>
      </c>
      <c r="R61" s="25" t="str">
        <f>VLOOKUP(A61,'Travel Times'!$A$1:$E$1000,4,0)</f>
        <v>19 mins</v>
      </c>
      <c r="S61" s="25" t="str">
        <f>VLOOKUP(A61,'Travel Times'!$A$1:$E$1000,5,0)</f>
        <v>5 mins</v>
      </c>
    </row>
    <row r="62">
      <c r="A62" s="19" t="s">
        <v>684</v>
      </c>
      <c r="B62" s="19" t="s">
        <v>255</v>
      </c>
      <c r="C62" s="19" t="s">
        <v>685</v>
      </c>
      <c r="D62" s="19" t="s">
        <v>686</v>
      </c>
      <c r="E62" s="19" t="s">
        <v>687</v>
      </c>
      <c r="F62" s="19" t="s">
        <v>688</v>
      </c>
      <c r="G62" s="19" t="s">
        <v>689</v>
      </c>
      <c r="H62" s="28">
        <v>1200.0</v>
      </c>
      <c r="I62" s="19" t="s">
        <v>690</v>
      </c>
      <c r="J62" s="19" t="s">
        <v>691</v>
      </c>
      <c r="K62" s="19">
        <v>40.8846816</v>
      </c>
      <c r="L62" s="19">
        <v>14.2891552</v>
      </c>
      <c r="M62" s="29" t="str">
        <f t="shared" si="6"/>
        <v>https://www.google.com/maps/search/Naples%20International%20Airport%20%28NAP%29</v>
      </c>
      <c r="N62" s="24" t="s">
        <v>560</v>
      </c>
      <c r="O62" s="19" t="s">
        <v>561</v>
      </c>
      <c r="P62" s="25" t="str">
        <f t="shared" si="1"/>
        <v>Naples</v>
      </c>
      <c r="Q62" s="25" t="str">
        <f t="shared" si="2"/>
        <v>Relais sul Mare Boutique Hotel, Naples, Italy</v>
      </c>
      <c r="R62" s="25" t="str">
        <f>VLOOKUP(A62,'Travel Times'!$A$1:$E$1000,4,0)</f>
        <v>1 hour 47 mins</v>
      </c>
      <c r="S62" s="25" t="str">
        <f>VLOOKUP(A62,'Travel Times'!$A$1:$E$1000,5,0)</f>
        <v>21 mins</v>
      </c>
    </row>
    <row r="63">
      <c r="A63" s="19" t="s">
        <v>692</v>
      </c>
      <c r="B63" s="19" t="s">
        <v>243</v>
      </c>
      <c r="C63" s="19" t="s">
        <v>693</v>
      </c>
      <c r="D63" s="19" t="s">
        <v>390</v>
      </c>
      <c r="E63" s="19" t="s">
        <v>694</v>
      </c>
      <c r="F63" s="19" t="s">
        <v>695</v>
      </c>
      <c r="G63" s="19" t="s">
        <v>557</v>
      </c>
      <c r="H63" s="28">
        <v>3000.0</v>
      </c>
      <c r="I63" s="19" t="s">
        <v>696</v>
      </c>
      <c r="J63" s="19" t="s">
        <v>697</v>
      </c>
      <c r="K63" s="19">
        <v>40.5503664</v>
      </c>
      <c r="L63" s="19">
        <v>14.2436652</v>
      </c>
      <c r="M63" s="29" t="str">
        <f t="shared" si="6"/>
        <v>https://www.google.com/maps/search/Hotel%20La%20Palma</v>
      </c>
      <c r="N63" s="24" t="s">
        <v>560</v>
      </c>
      <c r="O63" s="19" t="s">
        <v>561</v>
      </c>
      <c r="P63" s="25" t="str">
        <f t="shared" si="1"/>
        <v>Capri</v>
      </c>
      <c r="Q63" s="25" t="str">
        <f t="shared" si="2"/>
        <v>La Residenza, Capri, Italy</v>
      </c>
      <c r="R63" s="25" t="str">
        <f>VLOOKUP(A63,'Travel Times'!$A$1:$E$1000,4,0)</f>
        <v>3 mins</v>
      </c>
      <c r="S63" s="25" t="str">
        <f>VLOOKUP(A63,'Travel Times'!$A$1:$E$1000,5,0)</f>
        <v>1 min</v>
      </c>
    </row>
    <row r="64">
      <c r="A64" s="19" t="s">
        <v>698</v>
      </c>
      <c r="B64" s="19" t="s">
        <v>243</v>
      </c>
      <c r="C64" s="19" t="s">
        <v>677</v>
      </c>
      <c r="D64" s="19" t="s">
        <v>678</v>
      </c>
      <c r="E64" s="19" t="s">
        <v>699</v>
      </c>
      <c r="F64" s="19" t="s">
        <v>700</v>
      </c>
      <c r="G64" s="19" t="s">
        <v>701</v>
      </c>
      <c r="H64" s="19" t="s">
        <v>465</v>
      </c>
      <c r="I64" s="19" t="s">
        <v>702</v>
      </c>
      <c r="J64" s="19" t="s">
        <v>703</v>
      </c>
      <c r="K64" s="19">
        <v>40.5533968</v>
      </c>
      <c r="L64" s="19">
        <v>14.2381784</v>
      </c>
      <c r="M64" s="29" t="str">
        <f t="shared" si="6"/>
        <v>https://www.google.com/maps/search/Capri%20Marina%20Grande</v>
      </c>
      <c r="N64" s="24" t="s">
        <v>560</v>
      </c>
      <c r="O64" s="19" t="s">
        <v>561</v>
      </c>
      <c r="P64" s="25" t="str">
        <f t="shared" si="1"/>
        <v>Capri</v>
      </c>
      <c r="Q64" s="25" t="str">
        <f t="shared" si="2"/>
        <v>La Residenza, Capri, Italy</v>
      </c>
      <c r="R64" s="25" t="str">
        <f>VLOOKUP(A64,'Travel Times'!$A$1:$E$1000,4,0)</f>
        <v>14 mins</v>
      </c>
      <c r="S64" s="25" t="str">
        <f>VLOOKUP(A64,'Travel Times'!$A$1:$E$1000,5,0)</f>
        <v>6 mins</v>
      </c>
    </row>
    <row r="65">
      <c r="A65" s="19" t="s">
        <v>704</v>
      </c>
      <c r="B65" s="19" t="s">
        <v>243</v>
      </c>
      <c r="C65" s="19" t="s">
        <v>705</v>
      </c>
      <c r="D65" s="19" t="s">
        <v>470</v>
      </c>
      <c r="E65" s="19" t="s">
        <v>706</v>
      </c>
      <c r="F65" s="19" t="s">
        <v>707</v>
      </c>
      <c r="G65" s="19" t="s">
        <v>566</v>
      </c>
      <c r="H65" s="19" t="s">
        <v>445</v>
      </c>
      <c r="I65" s="19" t="s">
        <v>708</v>
      </c>
      <c r="J65" s="19" t="s">
        <v>709</v>
      </c>
      <c r="K65" s="19">
        <v>40.551337</v>
      </c>
      <c r="L65" s="19">
        <v>14.2433926</v>
      </c>
      <c r="M65" s="29" t="str">
        <f t="shared" si="6"/>
        <v>https://www.google.com/maps/search/La%20Piazzetta</v>
      </c>
      <c r="N65" s="24" t="s">
        <v>560</v>
      </c>
      <c r="O65" s="19" t="s">
        <v>561</v>
      </c>
      <c r="P65" s="25" t="str">
        <f t="shared" si="1"/>
        <v>Capri</v>
      </c>
      <c r="Q65" s="25" t="str">
        <f t="shared" si="2"/>
        <v>La Residenza, Capri, Italy</v>
      </c>
      <c r="R65" s="25" t="str">
        <f>VLOOKUP(A65,'Travel Times'!$A$1:$E$1000,4,0)</f>
        <v>5 mins</v>
      </c>
      <c r="S65" s="25" t="str">
        <f>VLOOKUP(A65,'Travel Times'!$A$1:$E$1000,5,0)</f>
        <v>1 min</v>
      </c>
    </row>
    <row r="66">
      <c r="A66" s="19" t="s">
        <v>710</v>
      </c>
      <c r="B66" s="19" t="s">
        <v>243</v>
      </c>
      <c r="C66" s="19" t="s">
        <v>711</v>
      </c>
      <c r="D66" s="19" t="s">
        <v>657</v>
      </c>
      <c r="E66" s="19" t="s">
        <v>712</v>
      </c>
      <c r="F66" s="19" t="s">
        <v>713</v>
      </c>
      <c r="G66" s="19" t="s">
        <v>714</v>
      </c>
      <c r="H66" s="28">
        <v>3000.0</v>
      </c>
      <c r="I66" s="19" t="s">
        <v>715</v>
      </c>
      <c r="J66" s="19" t="s">
        <v>716</v>
      </c>
      <c r="K66" s="19">
        <v>40.5498565</v>
      </c>
      <c r="L66" s="19">
        <v>14.2456523</v>
      </c>
      <c r="M66" s="29" t="str">
        <f t="shared" si="6"/>
        <v>https://www.google.com/maps/search/Via%20Camerelle</v>
      </c>
      <c r="N66" s="24" t="s">
        <v>560</v>
      </c>
      <c r="O66" s="19" t="s">
        <v>561</v>
      </c>
      <c r="P66" s="25" t="str">
        <f t="shared" si="1"/>
        <v>Capri</v>
      </c>
      <c r="Q66" s="25" t="str">
        <f t="shared" si="2"/>
        <v>La Residenza, Capri, Italy</v>
      </c>
      <c r="R66" s="25" t="str">
        <f>VLOOKUP(A66,'Travel Times'!$A$1:$E$1000,4,0)</f>
        <v>3 mins</v>
      </c>
      <c r="S66" s="25" t="str">
        <f>VLOOKUP(A66,'Travel Times'!$A$1:$E$1000,5,0)</f>
        <v>1 min</v>
      </c>
    </row>
    <row r="67">
      <c r="A67" s="19" t="s">
        <v>717</v>
      </c>
      <c r="B67" s="19" t="s">
        <v>243</v>
      </c>
      <c r="C67" s="19" t="s">
        <v>718</v>
      </c>
      <c r="D67" s="19" t="s">
        <v>719</v>
      </c>
      <c r="E67" s="19" t="s">
        <v>720</v>
      </c>
      <c r="F67" s="19" t="s">
        <v>721</v>
      </c>
      <c r="G67" s="19" t="s">
        <v>722</v>
      </c>
      <c r="H67" s="19" t="s">
        <v>445</v>
      </c>
      <c r="I67" s="19" t="s">
        <v>723</v>
      </c>
      <c r="J67" s="19" t="s">
        <v>724</v>
      </c>
      <c r="K67" s="19">
        <v>40.5473022</v>
      </c>
      <c r="L67" s="19">
        <v>14.243206</v>
      </c>
      <c r="M67" s="29" t="str">
        <f t="shared" si="6"/>
        <v>https://www.google.com/maps/search/Gardens%20of%20Augustus</v>
      </c>
      <c r="N67" s="24" t="s">
        <v>560</v>
      </c>
      <c r="O67" s="19" t="s">
        <v>561</v>
      </c>
      <c r="P67" s="25" t="str">
        <f t="shared" si="1"/>
        <v>Capri</v>
      </c>
      <c r="Q67" s="25" t="str">
        <f t="shared" si="2"/>
        <v>La Residenza, Capri, Italy</v>
      </c>
      <c r="R67" s="25" t="str">
        <f>VLOOKUP(A67,'Travel Times'!$A$1:$E$1000,4,0)</f>
        <v>5 mins</v>
      </c>
      <c r="S67" s="25" t="str">
        <f>VLOOKUP(A67,'Travel Times'!$A$1:$E$1000,5,0)</f>
        <v>1 min</v>
      </c>
    </row>
    <row r="68">
      <c r="A68" s="19" t="s">
        <v>725</v>
      </c>
      <c r="B68" s="19" t="s">
        <v>243</v>
      </c>
      <c r="C68" s="19" t="s">
        <v>726</v>
      </c>
      <c r="D68" s="19" t="s">
        <v>727</v>
      </c>
      <c r="E68" s="19" t="s">
        <v>728</v>
      </c>
      <c r="F68" s="19" t="s">
        <v>729</v>
      </c>
      <c r="G68" s="19" t="s">
        <v>730</v>
      </c>
      <c r="H68" s="28">
        <v>3000.0</v>
      </c>
      <c r="I68" s="19" t="s">
        <v>731</v>
      </c>
      <c r="J68" s="19" t="s">
        <v>732</v>
      </c>
      <c r="K68" s="19">
        <v>40.5461187</v>
      </c>
      <c r="L68" s="19">
        <v>14.2380416</v>
      </c>
      <c r="M68" s="29" t="str">
        <f t="shared" si="6"/>
        <v>https://www.google.com/maps/search/Via%20Krupp</v>
      </c>
      <c r="N68" s="24" t="s">
        <v>560</v>
      </c>
      <c r="O68" s="19" t="s">
        <v>561</v>
      </c>
      <c r="P68" s="25" t="str">
        <f t="shared" si="1"/>
        <v>Capri</v>
      </c>
      <c r="Q68" s="25" t="str">
        <f t="shared" si="2"/>
        <v>La Residenza, Capri, Italy</v>
      </c>
      <c r="R68" s="25" t="str">
        <f>VLOOKUP(A68,'Travel Times'!$A$1:$E$1000,4,0)</f>
        <v>20 mins</v>
      </c>
      <c r="S68" s="25" t="str">
        <f>VLOOKUP(A68,'Travel Times'!$A$1:$E$1000,5,0)</f>
        <v>6 mins</v>
      </c>
    </row>
    <row r="69">
      <c r="A69" s="19" t="s">
        <v>301</v>
      </c>
      <c r="B69" s="19" t="s">
        <v>243</v>
      </c>
      <c r="C69" s="19" t="s">
        <v>408</v>
      </c>
      <c r="D69" s="19" t="s">
        <v>291</v>
      </c>
      <c r="E69" s="19" t="s">
        <v>733</v>
      </c>
      <c r="F69" s="19" t="s">
        <v>734</v>
      </c>
      <c r="G69" s="19" t="s">
        <v>601</v>
      </c>
      <c r="H69" s="28">
        <v>3000.0</v>
      </c>
      <c r="I69" s="19" t="s">
        <v>307</v>
      </c>
      <c r="J69" s="19" t="s">
        <v>308</v>
      </c>
      <c r="K69" s="19">
        <v>40.550878</v>
      </c>
      <c r="L69" s="19">
        <v>14.2450572</v>
      </c>
      <c r="M69" s="29" t="str">
        <f t="shared" si="6"/>
        <v>https://www.google.com/maps/search/Aurora</v>
      </c>
      <c r="N69" s="24" t="s">
        <v>560</v>
      </c>
      <c r="O69" s="19" t="s">
        <v>561</v>
      </c>
      <c r="P69" s="25" t="str">
        <f t="shared" si="1"/>
        <v>Capri</v>
      </c>
      <c r="Q69" s="25" t="str">
        <f t="shared" si="2"/>
        <v>La Residenza, Capri, Italy</v>
      </c>
      <c r="R69" s="25" t="str">
        <f>VLOOKUP(A69,'Travel Times'!$A$1:$E$1000,4,0)</f>
        <v>5 mins</v>
      </c>
      <c r="S69" s="25" t="str">
        <f>VLOOKUP(A69,'Travel Times'!$A$1:$E$1000,5,0)</f>
        <v>1 min</v>
      </c>
    </row>
    <row r="70">
      <c r="A70" s="19" t="s">
        <v>735</v>
      </c>
      <c r="B70" s="19" t="s">
        <v>243</v>
      </c>
      <c r="C70" s="19" t="s">
        <v>736</v>
      </c>
      <c r="D70" s="19" t="s">
        <v>737</v>
      </c>
      <c r="E70" s="19" t="s">
        <v>738</v>
      </c>
      <c r="F70" s="19" t="s">
        <v>739</v>
      </c>
      <c r="G70" s="19" t="s">
        <v>740</v>
      </c>
      <c r="H70" s="19" t="s">
        <v>403</v>
      </c>
      <c r="I70" s="19" t="s">
        <v>741</v>
      </c>
      <c r="J70" s="19" t="s">
        <v>742</v>
      </c>
      <c r="K70" s="19">
        <v>40.5609849</v>
      </c>
      <c r="L70" s="19">
        <v>14.2055931</v>
      </c>
      <c r="M70" s="29" t="str">
        <f t="shared" si="6"/>
        <v>https://www.google.com/maps/search/Blue%20Grotto</v>
      </c>
      <c r="N70" s="24" t="s">
        <v>560</v>
      </c>
      <c r="O70" s="19" t="s">
        <v>561</v>
      </c>
      <c r="P70" s="25" t="str">
        <f t="shared" si="1"/>
        <v>Capri</v>
      </c>
      <c r="Q70" s="25" t="str">
        <f t="shared" si="2"/>
        <v>La Residenza, Capri, Italy</v>
      </c>
      <c r="R70" s="25" t="str">
        <f>VLOOKUP(A70,'Travel Times'!$A$1:$E$1000,4,0)</f>
        <v>1 hour 39 mins</v>
      </c>
      <c r="S70" s="25" t="str">
        <f>VLOOKUP(A70,'Travel Times'!$A$1:$E$1000,5,0)</f>
        <v>19 mins</v>
      </c>
    </row>
    <row r="71">
      <c r="A71" s="19" t="s">
        <v>743</v>
      </c>
      <c r="B71" s="19" t="s">
        <v>243</v>
      </c>
      <c r="C71" s="19" t="s">
        <v>744</v>
      </c>
      <c r="D71" s="19" t="s">
        <v>745</v>
      </c>
      <c r="E71" s="19" t="s">
        <v>746</v>
      </c>
      <c r="F71" s="19" t="s">
        <v>747</v>
      </c>
      <c r="G71" s="19" t="s">
        <v>748</v>
      </c>
      <c r="H71" s="28">
        <v>2500.0</v>
      </c>
      <c r="I71" s="19" t="s">
        <v>275</v>
      </c>
      <c r="J71" s="19" t="s">
        <v>286</v>
      </c>
      <c r="K71" s="19">
        <v>40.5507259</v>
      </c>
      <c r="L71" s="19">
        <v>14.2429</v>
      </c>
      <c r="M71" s="29" t="str">
        <f t="shared" si="6"/>
        <v>https://www.google.com/maps/search/Faraglioni%20Rocks</v>
      </c>
      <c r="N71" s="24" t="s">
        <v>560</v>
      </c>
      <c r="O71" s="19" t="s">
        <v>561</v>
      </c>
      <c r="P71" s="25" t="str">
        <f t="shared" si="1"/>
        <v>Capri</v>
      </c>
      <c r="Q71" s="25" t="str">
        <f t="shared" si="2"/>
        <v>La Residenza, Capri, Italy</v>
      </c>
      <c r="R71" s="25" t="str">
        <f>VLOOKUP(A71,'Travel Times'!$A$1:$E$1000,4,0)</f>
        <v>24 mins</v>
      </c>
      <c r="S71" s="25" t="str">
        <f>VLOOKUP(A71,'Travel Times'!$A$1:$E$1000,5,0)</f>
        <v>1 min</v>
      </c>
    </row>
    <row r="72">
      <c r="A72" s="19" t="s">
        <v>749</v>
      </c>
      <c r="B72" s="19" t="s">
        <v>243</v>
      </c>
      <c r="C72" s="19" t="s">
        <v>736</v>
      </c>
      <c r="D72" s="19" t="s">
        <v>737</v>
      </c>
      <c r="E72" s="19" t="s">
        <v>750</v>
      </c>
      <c r="F72" s="19" t="s">
        <v>751</v>
      </c>
      <c r="G72" s="19" t="s">
        <v>740</v>
      </c>
      <c r="H72" s="19" t="s">
        <v>752</v>
      </c>
      <c r="I72" s="19" t="s">
        <v>753</v>
      </c>
      <c r="J72" s="19" t="s">
        <v>286</v>
      </c>
      <c r="K72" s="19">
        <v>40.5507259</v>
      </c>
      <c r="L72" s="19">
        <v>14.2429</v>
      </c>
      <c r="M72" s="29" t="str">
        <f t="shared" si="6"/>
        <v>https://www.google.com/maps/search/Green%20Grotto</v>
      </c>
      <c r="N72" s="24" t="s">
        <v>560</v>
      </c>
      <c r="O72" s="19" t="s">
        <v>561</v>
      </c>
      <c r="P72" s="25" t="str">
        <f t="shared" si="1"/>
        <v>Capri</v>
      </c>
      <c r="Q72" s="25" t="str">
        <f t="shared" si="2"/>
        <v>La Residenza, Capri, Italy</v>
      </c>
      <c r="R72" s="25" t="str">
        <f>VLOOKUP(A72,'Travel Times'!$A$1:$E$1000,4,0)</f>
        <v>1 hour 39 mins</v>
      </c>
      <c r="S72" s="25" t="str">
        <f>VLOOKUP(A72,'Travel Times'!$A$1:$E$1000,5,0)</f>
        <v>19 mins</v>
      </c>
    </row>
    <row r="73">
      <c r="A73" s="19" t="s">
        <v>754</v>
      </c>
      <c r="B73" s="19" t="s">
        <v>243</v>
      </c>
      <c r="C73" s="19" t="s">
        <v>755</v>
      </c>
      <c r="D73" s="19" t="s">
        <v>756</v>
      </c>
      <c r="E73" s="19" t="s">
        <v>757</v>
      </c>
      <c r="F73" s="19" t="s">
        <v>758</v>
      </c>
      <c r="G73" s="19" t="s">
        <v>759</v>
      </c>
      <c r="H73" s="19" t="s">
        <v>445</v>
      </c>
      <c r="I73" s="19" t="s">
        <v>760</v>
      </c>
      <c r="J73" s="19" t="s">
        <v>761</v>
      </c>
      <c r="K73" s="19">
        <v>40.5608853</v>
      </c>
      <c r="L73" s="19">
        <v>14.203249</v>
      </c>
      <c r="M73" s="29" t="str">
        <f t="shared" si="6"/>
        <v>https://www.google.com/maps/search/Il%20Riccio</v>
      </c>
      <c r="N73" s="24" t="s">
        <v>560</v>
      </c>
      <c r="O73" s="19" t="s">
        <v>561</v>
      </c>
      <c r="P73" s="25" t="str">
        <f t="shared" si="1"/>
        <v>Capri</v>
      </c>
      <c r="Q73" s="25" t="str">
        <f t="shared" si="2"/>
        <v>La Residenza, Capri, Italy</v>
      </c>
      <c r="R73" s="25" t="str">
        <f>VLOOKUP(A73,'Travel Times'!$A$1:$E$1000,4,0)</f>
        <v>1 hour 38 mins</v>
      </c>
      <c r="S73" s="25" t="str">
        <f>VLOOKUP(A73,'Travel Times'!$A$1:$E$1000,5,0)</f>
        <v>19 mins</v>
      </c>
    </row>
    <row r="74">
      <c r="A74" s="19" t="s">
        <v>762</v>
      </c>
      <c r="B74" s="19" t="s">
        <v>79</v>
      </c>
      <c r="C74" s="19" t="s">
        <v>763</v>
      </c>
      <c r="D74" s="19" t="s">
        <v>470</v>
      </c>
      <c r="E74" s="19" t="s">
        <v>764</v>
      </c>
      <c r="F74" s="19" t="s">
        <v>765</v>
      </c>
      <c r="G74" s="19" t="s">
        <v>766</v>
      </c>
      <c r="H74" s="28">
        <v>3000.0</v>
      </c>
      <c r="I74" s="19" t="s">
        <v>767</v>
      </c>
      <c r="J74" s="19" t="s">
        <v>768</v>
      </c>
      <c r="K74" s="19">
        <v>40.5572702</v>
      </c>
      <c r="L74" s="19">
        <v>14.2251246</v>
      </c>
      <c r="M74" s="29" t="str">
        <f t="shared" si="6"/>
        <v>https://www.google.com/maps/search/Villa%20San%20Michele</v>
      </c>
      <c r="N74" s="24" t="s">
        <v>560</v>
      </c>
      <c r="O74" s="19" t="s">
        <v>561</v>
      </c>
      <c r="P74" s="25" t="str">
        <f t="shared" si="1"/>
        <v>Capri</v>
      </c>
      <c r="Q74" s="25" t="str">
        <f t="shared" si="2"/>
        <v>La Residenza, Capri, Italy</v>
      </c>
      <c r="R74" s="25" t="str">
        <f>VLOOKUP(A74,'Travel Times'!$A$1:$E$1000,4,0)</f>
        <v>42 mins</v>
      </c>
      <c r="S74" s="25" t="str">
        <f>VLOOKUP(A74,'Travel Times'!$A$1:$E$1000,5,0)</f>
        <v>13 mins</v>
      </c>
    </row>
    <row r="75">
      <c r="A75" s="19" t="s">
        <v>769</v>
      </c>
      <c r="B75" s="19" t="s">
        <v>79</v>
      </c>
      <c r="C75" s="19" t="s">
        <v>770</v>
      </c>
      <c r="D75" s="19" t="s">
        <v>771</v>
      </c>
      <c r="E75" s="19" t="s">
        <v>772</v>
      </c>
      <c r="F75" s="19" t="s">
        <v>773</v>
      </c>
      <c r="G75" s="19" t="s">
        <v>774</v>
      </c>
      <c r="H75" s="19" t="s">
        <v>452</v>
      </c>
      <c r="I75" s="19" t="s">
        <v>775</v>
      </c>
      <c r="J75" s="19" t="s">
        <v>776</v>
      </c>
      <c r="K75" s="19">
        <v>40.5554465</v>
      </c>
      <c r="L75" s="19">
        <v>14.221584</v>
      </c>
      <c r="M75" s="29" t="str">
        <f t="shared" si="6"/>
        <v>https://www.google.com/maps/search/Monte%20Solaro%20Chairlift</v>
      </c>
      <c r="N75" s="24" t="s">
        <v>560</v>
      </c>
      <c r="O75" s="19" t="s">
        <v>561</v>
      </c>
      <c r="P75" s="25" t="str">
        <f t="shared" si="1"/>
        <v>Capri</v>
      </c>
      <c r="Q75" s="25" t="str">
        <f t="shared" si="2"/>
        <v>La Residenza, Capri, Italy</v>
      </c>
      <c r="R75" s="25" t="str">
        <f>VLOOKUP(A75,'Travel Times'!$A$1:$E$1000,4,0)</f>
        <v>47 mins</v>
      </c>
      <c r="S75" s="25" t="str">
        <f>VLOOKUP(A75,'Travel Times'!$A$1:$E$1000,5,0)</f>
        <v>11 mins</v>
      </c>
    </row>
    <row r="76">
      <c r="A76" s="16" t="s">
        <v>77</v>
      </c>
      <c r="B76" s="19" t="s">
        <v>243</v>
      </c>
      <c r="C76" s="19" t="s">
        <v>777</v>
      </c>
      <c r="D76" s="19" t="s">
        <v>778</v>
      </c>
      <c r="E76" s="19" t="s">
        <v>779</v>
      </c>
      <c r="F76" s="19" t="s">
        <v>780</v>
      </c>
      <c r="G76" s="19" t="s">
        <v>601</v>
      </c>
      <c r="H76" s="19" t="s">
        <v>445</v>
      </c>
      <c r="I76" s="19" t="s">
        <v>781</v>
      </c>
      <c r="J76" s="19" t="s">
        <v>782</v>
      </c>
      <c r="K76" s="19">
        <v>40.5585739</v>
      </c>
      <c r="L76" s="19">
        <v>14.2309054</v>
      </c>
      <c r="M76" s="29" t="str">
        <f t="shared" si="6"/>
        <v>https://www.google.com/maps/search/da%20Paolino</v>
      </c>
      <c r="N76" s="24" t="s">
        <v>560</v>
      </c>
      <c r="O76" s="19" t="s">
        <v>561</v>
      </c>
      <c r="P76" s="25" t="str">
        <f t="shared" si="1"/>
        <v>Capri</v>
      </c>
      <c r="Q76" s="25" t="str">
        <f t="shared" si="2"/>
        <v>La Residenza, Capri, Italy</v>
      </c>
      <c r="R76" s="25" t="str">
        <f>VLOOKUP(A76,'Travel Times'!$A$1:$E$1000,4,0)</f>
        <v>25 mins</v>
      </c>
      <c r="S76" s="25" t="str">
        <f>VLOOKUP(A76,'Travel Times'!$A$1:$E$1000,5,0)</f>
        <v>8 mins</v>
      </c>
      <c r="T76" s="9" t="s">
        <v>783</v>
      </c>
    </row>
    <row r="77">
      <c r="A77" s="19" t="s">
        <v>784</v>
      </c>
      <c r="B77" s="19" t="s">
        <v>243</v>
      </c>
      <c r="C77" s="19" t="s">
        <v>440</v>
      </c>
      <c r="D77" s="19" t="s">
        <v>785</v>
      </c>
      <c r="E77" s="19" t="s">
        <v>786</v>
      </c>
      <c r="F77" s="19" t="s">
        <v>787</v>
      </c>
      <c r="G77" s="19" t="s">
        <v>788</v>
      </c>
      <c r="H77" s="19" t="s">
        <v>445</v>
      </c>
      <c r="I77" s="19" t="s">
        <v>789</v>
      </c>
      <c r="J77" s="19" t="s">
        <v>790</v>
      </c>
      <c r="K77" s="19">
        <v>40.5437871</v>
      </c>
      <c r="L77" s="19">
        <v>14.2510518</v>
      </c>
      <c r="M77" s="29" t="str">
        <f t="shared" si="6"/>
        <v>https://www.google.com/maps/search/La%20Fontelina%20Beach%20Club</v>
      </c>
      <c r="N77" s="24" t="s">
        <v>560</v>
      </c>
      <c r="O77" s="19" t="s">
        <v>561</v>
      </c>
      <c r="P77" s="25" t="str">
        <f t="shared" si="1"/>
        <v>Capri</v>
      </c>
      <c r="Q77" s="25" t="str">
        <f t="shared" si="2"/>
        <v>La Residenza, Capri, Italy</v>
      </c>
      <c r="R77" s="25" t="str">
        <f>VLOOKUP(A77,'Travel Times'!$A$1:$E$1000,4,0)</f>
        <v>23 mins</v>
      </c>
      <c r="S77" s="25" t="str">
        <f>VLOOKUP(A77,'Travel Times'!$A$1:$E$1000,5,0)</f>
        <v>1 min</v>
      </c>
    </row>
    <row r="78">
      <c r="A78" s="19" t="s">
        <v>791</v>
      </c>
      <c r="B78" s="19" t="s">
        <v>243</v>
      </c>
      <c r="C78" s="19" t="s">
        <v>792</v>
      </c>
      <c r="D78" s="19" t="s">
        <v>605</v>
      </c>
      <c r="E78" s="19" t="s">
        <v>793</v>
      </c>
      <c r="F78" s="19" t="s">
        <v>794</v>
      </c>
      <c r="G78" s="19" t="s">
        <v>601</v>
      </c>
      <c r="H78" s="28">
        <v>3000.0</v>
      </c>
      <c r="I78" s="19" t="s">
        <v>795</v>
      </c>
      <c r="J78" s="19" t="s">
        <v>796</v>
      </c>
      <c r="K78" s="19">
        <v>40.5452777</v>
      </c>
      <c r="L78" s="19">
        <v>14.2505134</v>
      </c>
      <c r="M78" s="29" t="str">
        <f t="shared" si="6"/>
        <v>https://www.google.com/maps/search/Le%20Monz%C3%B9</v>
      </c>
      <c r="N78" s="24" t="s">
        <v>560</v>
      </c>
      <c r="O78" s="19" t="s">
        <v>561</v>
      </c>
      <c r="P78" s="25" t="str">
        <f t="shared" si="1"/>
        <v>Capri</v>
      </c>
      <c r="Q78" s="25" t="str">
        <f t="shared" si="2"/>
        <v>La Residenza, Capri, Italy</v>
      </c>
      <c r="R78" s="25" t="str">
        <f>VLOOKUP(A78,'Travel Times'!$A$1:$E$1000,4,0)</f>
        <v>13 mins</v>
      </c>
      <c r="S78" s="25" t="str">
        <f>VLOOKUP(A78,'Travel Times'!$A$1:$E$1000,5,0)</f>
        <v>1 min</v>
      </c>
    </row>
    <row r="79">
      <c r="A79" s="19" t="s">
        <v>797</v>
      </c>
      <c r="B79" s="19" t="s">
        <v>79</v>
      </c>
      <c r="C79" s="19" t="s">
        <v>792</v>
      </c>
      <c r="D79" s="19" t="s">
        <v>605</v>
      </c>
      <c r="E79" s="19" t="s">
        <v>798</v>
      </c>
      <c r="F79" s="19" t="s">
        <v>799</v>
      </c>
      <c r="G79" s="19" t="s">
        <v>601</v>
      </c>
      <c r="H79" s="19" t="s">
        <v>445</v>
      </c>
      <c r="I79" s="19" t="s">
        <v>800</v>
      </c>
      <c r="J79" s="19" t="s">
        <v>801</v>
      </c>
      <c r="K79" s="19">
        <v>40.5557415</v>
      </c>
      <c r="L79" s="19">
        <v>14.221837</v>
      </c>
      <c r="M79" s="29" t="str">
        <f t="shared" si="6"/>
        <v>https://www.google.com/maps/search/L%27Olivo</v>
      </c>
      <c r="N79" s="24" t="s">
        <v>560</v>
      </c>
      <c r="O79" s="19" t="s">
        <v>561</v>
      </c>
      <c r="P79" s="25" t="str">
        <f t="shared" si="1"/>
        <v>Capri</v>
      </c>
      <c r="Q79" s="25" t="str">
        <f t="shared" si="2"/>
        <v>La Residenza, Capri, Italy</v>
      </c>
      <c r="R79" s="25" t="str">
        <f>VLOOKUP(A79,'Travel Times'!$A$1:$E$1000,4,0)</f>
        <v>46 mins</v>
      </c>
      <c r="S79" s="25" t="str">
        <f>VLOOKUP(A79,'Travel Times'!$A$1:$E$1000,5,0)</f>
        <v>12 mins</v>
      </c>
    </row>
    <row r="80">
      <c r="A80" s="19" t="s">
        <v>802</v>
      </c>
      <c r="B80" s="19" t="s">
        <v>266</v>
      </c>
      <c r="C80" s="19" t="s">
        <v>693</v>
      </c>
      <c r="D80" s="19" t="s">
        <v>390</v>
      </c>
      <c r="E80" s="19" t="s">
        <v>803</v>
      </c>
      <c r="F80" s="19" t="s">
        <v>804</v>
      </c>
      <c r="G80" s="19" t="s">
        <v>557</v>
      </c>
      <c r="H80" s="28">
        <v>3000.0</v>
      </c>
      <c r="I80" s="19" t="s">
        <v>805</v>
      </c>
      <c r="J80" s="19" t="s">
        <v>806</v>
      </c>
      <c r="K80" s="19">
        <v>40.6508871</v>
      </c>
      <c r="L80" s="19">
        <v>14.6129698</v>
      </c>
      <c r="M80" s="29" t="str">
        <f t="shared" si="6"/>
        <v>https://www.google.com/maps/search/Palazzo%20Avino</v>
      </c>
      <c r="N80" s="24" t="s">
        <v>560</v>
      </c>
      <c r="O80" s="19" t="s">
        <v>561</v>
      </c>
      <c r="P80" s="25" t="str">
        <f t="shared" si="1"/>
        <v>Ravello</v>
      </c>
      <c r="Q80" s="25" t="str">
        <f t="shared" si="2"/>
        <v>Hotel Rufolo, Ravello, Italy</v>
      </c>
      <c r="R80" s="25" t="str">
        <f>VLOOKUP(A80,'Travel Times'!$A$1:$E$1000,4,0)</f>
        <v>8 mins</v>
      </c>
      <c r="S80" s="25" t="str">
        <f>VLOOKUP(A80,'Travel Times'!$A$1:$E$1000,5,0)</f>
        <v>2 mins</v>
      </c>
    </row>
    <row r="81">
      <c r="A81" s="19" t="s">
        <v>807</v>
      </c>
      <c r="B81" s="19" t="s">
        <v>365</v>
      </c>
      <c r="C81" s="19" t="s">
        <v>693</v>
      </c>
      <c r="D81" s="19" t="s">
        <v>390</v>
      </c>
      <c r="E81" s="19" t="s">
        <v>808</v>
      </c>
      <c r="F81" s="19" t="s">
        <v>809</v>
      </c>
      <c r="G81" s="19" t="s">
        <v>557</v>
      </c>
      <c r="H81" s="28">
        <v>3000.0</v>
      </c>
      <c r="I81" s="19" t="s">
        <v>810</v>
      </c>
      <c r="J81" s="19" t="s">
        <v>811</v>
      </c>
      <c r="K81" s="19">
        <v>40.6189299</v>
      </c>
      <c r="L81" s="19">
        <v>14.5764754</v>
      </c>
      <c r="M81" s="29" t="str">
        <f t="shared" si="6"/>
        <v>https://www.google.com/maps/search/Borgo%20Santandrea</v>
      </c>
      <c r="N81" s="24" t="s">
        <v>560</v>
      </c>
      <c r="O81" s="19" t="s">
        <v>561</v>
      </c>
      <c r="P81" s="25" t="str">
        <f t="shared" si="1"/>
        <v>Positano</v>
      </c>
      <c r="Q81" s="25" t="str">
        <f t="shared" si="2"/>
        <v>Hotel Savoia, Positano, Italy</v>
      </c>
      <c r="R81" s="25" t="str">
        <f>VLOOKUP(A81,'Travel Times'!$A$1:$E$1000,4,0)</f>
        <v>4 hours 12 mins</v>
      </c>
      <c r="S81" s="25" t="str">
        <f>VLOOKUP(A81,'Travel Times'!$A$1:$E$1000,5,0)</f>
        <v>28 mins</v>
      </c>
    </row>
    <row r="82">
      <c r="A82" s="19" t="s">
        <v>812</v>
      </c>
      <c r="B82" s="19" t="s">
        <v>266</v>
      </c>
      <c r="C82" s="19" t="s">
        <v>792</v>
      </c>
      <c r="D82" s="19" t="s">
        <v>605</v>
      </c>
      <c r="E82" s="19" t="s">
        <v>813</v>
      </c>
      <c r="F82" s="19" t="s">
        <v>814</v>
      </c>
      <c r="G82" s="19" t="s">
        <v>601</v>
      </c>
      <c r="H82" s="19" t="s">
        <v>445</v>
      </c>
      <c r="I82" s="19" t="s">
        <v>805</v>
      </c>
      <c r="J82" s="19" t="s">
        <v>806</v>
      </c>
      <c r="K82" s="19">
        <v>40.6508871</v>
      </c>
      <c r="L82" s="19">
        <v>14.6129698</v>
      </c>
      <c r="M82" s="29" t="str">
        <f t="shared" si="6"/>
        <v>https://www.google.com/maps/search/Rossellini%27s</v>
      </c>
      <c r="N82" s="24" t="s">
        <v>560</v>
      </c>
      <c r="O82" s="19" t="s">
        <v>561</v>
      </c>
      <c r="P82" s="25" t="str">
        <f t="shared" si="1"/>
        <v>Ravello</v>
      </c>
      <c r="Q82" s="25" t="str">
        <f t="shared" si="2"/>
        <v>Hotel Rufolo, Ravello, Italy</v>
      </c>
      <c r="R82" s="25" t="str">
        <f>VLOOKUP(A82,'Travel Times'!$A$1:$E$1000,4,0)</f>
        <v>8 mins</v>
      </c>
      <c r="S82" s="25" t="str">
        <f>VLOOKUP(A82,'Travel Times'!$A$1:$E$1000,5,0)</f>
        <v>2 mins</v>
      </c>
    </row>
    <row r="83">
      <c r="A83" s="19" t="s">
        <v>815</v>
      </c>
      <c r="B83" s="19" t="s">
        <v>365</v>
      </c>
      <c r="C83" s="19" t="s">
        <v>755</v>
      </c>
      <c r="D83" s="19" t="s">
        <v>291</v>
      </c>
      <c r="E83" s="19" t="s">
        <v>816</v>
      </c>
      <c r="F83" s="19" t="s">
        <v>817</v>
      </c>
      <c r="G83" s="19" t="s">
        <v>614</v>
      </c>
      <c r="H83" s="28">
        <v>3000.0</v>
      </c>
      <c r="I83" s="19" t="s">
        <v>818</v>
      </c>
      <c r="J83" s="19" t="s">
        <v>819</v>
      </c>
      <c r="K83" s="19">
        <v>40.6338303</v>
      </c>
      <c r="L83" s="19">
        <v>14.6027661</v>
      </c>
      <c r="M83" s="29" t="str">
        <f t="shared" si="6"/>
        <v>https://www.google.com/maps/search/Al%20Borgo</v>
      </c>
      <c r="N83" s="24" t="s">
        <v>560</v>
      </c>
      <c r="O83" s="19" t="s">
        <v>561</v>
      </c>
      <c r="P83" s="25" t="str">
        <f t="shared" si="1"/>
        <v>Positano</v>
      </c>
      <c r="Q83" s="25" t="str">
        <f t="shared" si="2"/>
        <v>Hotel Savoia, Positano, Italy</v>
      </c>
      <c r="R83" s="25" t="str">
        <f>VLOOKUP(A83,'Travel Times'!$A$1:$E$1000,4,0)</f>
        <v>4 hours 40 mins</v>
      </c>
      <c r="S83" s="25" t="str">
        <f>VLOOKUP(A83,'Travel Times'!$A$1:$E$1000,5,0)</f>
        <v>37 mins</v>
      </c>
    </row>
    <row r="84">
      <c r="A84" s="19" t="s">
        <v>820</v>
      </c>
      <c r="B84" s="19" t="s">
        <v>61</v>
      </c>
      <c r="C84" s="19" t="s">
        <v>821</v>
      </c>
      <c r="D84" s="19" t="s">
        <v>822</v>
      </c>
      <c r="E84" s="19" t="s">
        <v>823</v>
      </c>
      <c r="F84" s="19" t="s">
        <v>824</v>
      </c>
      <c r="G84" s="19" t="s">
        <v>825</v>
      </c>
      <c r="H84" s="19" t="s">
        <v>445</v>
      </c>
      <c r="I84" s="19" t="s">
        <v>826</v>
      </c>
      <c r="J84" s="19" t="s">
        <v>827</v>
      </c>
      <c r="K84" s="19">
        <v>40.6311822</v>
      </c>
      <c r="L84" s="19">
        <v>14.4971535</v>
      </c>
      <c r="M84" s="29" t="str">
        <f t="shared" si="6"/>
        <v>https://www.google.com/maps/search/La%20Tagliata</v>
      </c>
      <c r="N84" s="24" t="s">
        <v>560</v>
      </c>
      <c r="O84" s="19" t="s">
        <v>561</v>
      </c>
      <c r="P84" s="25" t="str">
        <f t="shared" si="1"/>
        <v>Positano</v>
      </c>
      <c r="Q84" s="25" t="str">
        <f t="shared" si="2"/>
        <v>Hotel Savoia, Positano, Italy</v>
      </c>
      <c r="R84" s="25" t="str">
        <f>VLOOKUP(A84,'Travel Times'!$A$1:$E$1000,4,0)</f>
        <v>47 mins</v>
      </c>
      <c r="S84" s="25" t="str">
        <f>VLOOKUP(A84,'Travel Times'!$A$1:$E$1000,5,0)</f>
        <v>17 mins</v>
      </c>
    </row>
    <row r="85">
      <c r="A85" s="19" t="s">
        <v>828</v>
      </c>
      <c r="B85" s="19" t="s">
        <v>61</v>
      </c>
      <c r="C85" s="19" t="s">
        <v>829</v>
      </c>
      <c r="D85" s="19" t="s">
        <v>785</v>
      </c>
      <c r="E85" s="19" t="s">
        <v>830</v>
      </c>
      <c r="F85" s="19" t="s">
        <v>831</v>
      </c>
      <c r="G85" s="19" t="s">
        <v>832</v>
      </c>
      <c r="H85" s="28">
        <v>4000.0</v>
      </c>
      <c r="I85" s="19" t="s">
        <v>833</v>
      </c>
      <c r="J85" s="19" t="s">
        <v>834</v>
      </c>
      <c r="K85" s="19">
        <v>40.6278423</v>
      </c>
      <c r="L85" s="19">
        <v>14.4880918</v>
      </c>
      <c r="M85" s="29" t="str">
        <f t="shared" si="6"/>
        <v>https://www.google.com/maps/search/Spiaggia%20Grande</v>
      </c>
      <c r="N85" s="24" t="s">
        <v>560</v>
      </c>
      <c r="O85" s="19" t="s">
        <v>561</v>
      </c>
      <c r="P85" s="25" t="str">
        <f t="shared" si="1"/>
        <v>Positano</v>
      </c>
      <c r="Q85" s="25" t="str">
        <f t="shared" si="2"/>
        <v>Hotel Savoia, Positano, Italy</v>
      </c>
      <c r="R85" s="25" t="str">
        <f>VLOOKUP(A85,'Travel Times'!$A$1:$E$1000,4,0)</f>
        <v>6 mins</v>
      </c>
      <c r="S85" s="25" t="str">
        <f>VLOOKUP(A85,'Travel Times'!$A$1:$E$1000,5,0)</f>
        <v>1 min</v>
      </c>
    </row>
    <row r="86">
      <c r="A86" s="19" t="s">
        <v>835</v>
      </c>
      <c r="B86" s="19" t="s">
        <v>61</v>
      </c>
      <c r="C86" s="19" t="s">
        <v>836</v>
      </c>
      <c r="D86" s="19" t="s">
        <v>571</v>
      </c>
      <c r="E86" s="19" t="s">
        <v>837</v>
      </c>
      <c r="F86" s="19" t="s">
        <v>838</v>
      </c>
      <c r="G86" s="19" t="s">
        <v>839</v>
      </c>
      <c r="H86" s="19" t="s">
        <v>403</v>
      </c>
      <c r="I86" s="19" t="s">
        <v>840</v>
      </c>
      <c r="J86" s="19" t="s">
        <v>841</v>
      </c>
      <c r="K86" s="19">
        <v>40.6283686</v>
      </c>
      <c r="L86" s="19">
        <v>14.4865314</v>
      </c>
      <c r="M86" s="29" t="str">
        <f t="shared" si="6"/>
        <v>https://www.google.com/maps/search/Chiesa%20di%20Santa%20Maria%20Assunta</v>
      </c>
      <c r="N86" s="24" t="s">
        <v>560</v>
      </c>
      <c r="O86" s="19" t="s">
        <v>561</v>
      </c>
      <c r="P86" s="25" t="str">
        <f t="shared" si="1"/>
        <v>Positano</v>
      </c>
      <c r="Q86" s="25" t="str">
        <f t="shared" si="2"/>
        <v>Hotel Savoia, Positano, Italy</v>
      </c>
      <c r="R86" s="25" t="str">
        <f>VLOOKUP(A86,'Travel Times'!$A$1:$E$1000,4,0)</f>
        <v>4 mins</v>
      </c>
      <c r="S86" s="25" t="str">
        <f>VLOOKUP(A86,'Travel Times'!$A$1:$E$1000,5,0)</f>
        <v>1 min</v>
      </c>
    </row>
    <row r="87">
      <c r="A87" s="19" t="s">
        <v>842</v>
      </c>
      <c r="B87" s="19" t="s">
        <v>61</v>
      </c>
      <c r="C87" s="19" t="s">
        <v>656</v>
      </c>
      <c r="D87" s="19" t="s">
        <v>657</v>
      </c>
      <c r="E87" s="19" t="s">
        <v>843</v>
      </c>
      <c r="F87" s="19" t="s">
        <v>844</v>
      </c>
      <c r="G87" s="19" t="s">
        <v>660</v>
      </c>
      <c r="H87" s="28">
        <v>3000.0</v>
      </c>
      <c r="I87" s="19" t="s">
        <v>845</v>
      </c>
      <c r="J87" s="19" t="s">
        <v>846</v>
      </c>
      <c r="K87" s="19">
        <v>40.6290779</v>
      </c>
      <c r="L87" s="19">
        <v>14.4866109</v>
      </c>
      <c r="M87" s="29" t="str">
        <f t="shared" si="6"/>
        <v>https://www.google.com/maps/search/Via%20dei%20Mulini</v>
      </c>
      <c r="N87" s="24" t="s">
        <v>560</v>
      </c>
      <c r="O87" s="19" t="s">
        <v>561</v>
      </c>
      <c r="P87" s="25" t="str">
        <f t="shared" si="1"/>
        <v>Positano</v>
      </c>
      <c r="Q87" s="25" t="str">
        <f t="shared" si="2"/>
        <v>Hotel Savoia, Positano, Italy</v>
      </c>
      <c r="R87" s="25" t="str">
        <f>VLOOKUP(A87,'Travel Times'!$A$1:$E$1000,4,0)</f>
        <v>3 mins</v>
      </c>
      <c r="S87" s="25" t="str">
        <f>VLOOKUP(A87,'Travel Times'!$A$1:$E$1000,5,0)</f>
        <v>1 min</v>
      </c>
    </row>
    <row r="88">
      <c r="A88" s="19" t="s">
        <v>847</v>
      </c>
      <c r="B88" s="19" t="s">
        <v>61</v>
      </c>
      <c r="C88" s="19" t="s">
        <v>440</v>
      </c>
      <c r="D88" s="19" t="s">
        <v>785</v>
      </c>
      <c r="E88" s="19" t="s">
        <v>848</v>
      </c>
      <c r="F88" s="19" t="s">
        <v>849</v>
      </c>
      <c r="G88" s="19" t="s">
        <v>850</v>
      </c>
      <c r="H88" s="19" t="s">
        <v>403</v>
      </c>
      <c r="I88" s="19" t="s">
        <v>851</v>
      </c>
      <c r="J88" s="19" t="s">
        <v>834</v>
      </c>
      <c r="K88" s="19">
        <v>40.6278423</v>
      </c>
      <c r="L88" s="19">
        <v>14.4880918</v>
      </c>
      <c r="M88" s="29" t="str">
        <f t="shared" si="6"/>
        <v>https://www.google.com/maps/search/La%20Scogliera%20Beach%20Club</v>
      </c>
      <c r="N88" s="24" t="s">
        <v>560</v>
      </c>
      <c r="O88" s="19" t="s">
        <v>561</v>
      </c>
      <c r="P88" s="25" t="str">
        <f t="shared" si="1"/>
        <v>Positano</v>
      </c>
      <c r="Q88" s="25" t="str">
        <f t="shared" si="2"/>
        <v>Hotel Savoia, Positano, Italy</v>
      </c>
      <c r="R88" s="25" t="str">
        <f>VLOOKUP(A88,'Travel Times'!$A$1:$E$1000,4,0)</f>
        <v>8 mins</v>
      </c>
      <c r="S88" s="25" t="str">
        <f>VLOOKUP(A88,'Travel Times'!$A$1:$E$1000,5,0)</f>
        <v>2 mins</v>
      </c>
    </row>
    <row r="89">
      <c r="A89" s="19" t="s">
        <v>852</v>
      </c>
      <c r="B89" s="19" t="s">
        <v>61</v>
      </c>
      <c r="C89" s="19" t="s">
        <v>440</v>
      </c>
      <c r="D89" s="19" t="s">
        <v>785</v>
      </c>
      <c r="E89" s="19" t="s">
        <v>853</v>
      </c>
      <c r="F89" s="19" t="s">
        <v>854</v>
      </c>
      <c r="G89" s="19" t="s">
        <v>582</v>
      </c>
      <c r="H89" s="19" t="s">
        <v>445</v>
      </c>
      <c r="I89" s="19" t="s">
        <v>855</v>
      </c>
      <c r="J89" s="19" t="s">
        <v>856</v>
      </c>
      <c r="K89" s="19">
        <v>40.6263545</v>
      </c>
      <c r="L89" s="19">
        <v>14.4822477</v>
      </c>
      <c r="M89" s="29" t="str">
        <f t="shared" si="6"/>
        <v>https://www.google.com/maps/search/Da%20Ferdinando%20Beach%20Club</v>
      </c>
      <c r="N89" s="24" t="s">
        <v>560</v>
      </c>
      <c r="O89" s="19" t="s">
        <v>561</v>
      </c>
      <c r="P89" s="25" t="str">
        <f t="shared" si="1"/>
        <v>Positano</v>
      </c>
      <c r="Q89" s="25" t="str">
        <f t="shared" si="2"/>
        <v>Hotel Savoia, Positano, Italy</v>
      </c>
      <c r="R89" s="25" t="str">
        <f>VLOOKUP(A89,'Travel Times'!$A$1:$E$1000,4,0)</f>
        <v>22 mins</v>
      </c>
      <c r="S89" s="25" t="str">
        <f>VLOOKUP(A89,'Travel Times'!$A$1:$E$1000,5,0)</f>
        <v>13 mins</v>
      </c>
    </row>
    <row r="90">
      <c r="A90" s="19" t="s">
        <v>857</v>
      </c>
      <c r="B90" s="19" t="s">
        <v>266</v>
      </c>
      <c r="C90" s="19" t="s">
        <v>858</v>
      </c>
      <c r="D90" s="19" t="s">
        <v>719</v>
      </c>
      <c r="E90" s="19" t="s">
        <v>859</v>
      </c>
      <c r="F90" s="19" t="s">
        <v>860</v>
      </c>
      <c r="G90" s="19" t="s">
        <v>660</v>
      </c>
      <c r="H90" s="19" t="s">
        <v>403</v>
      </c>
      <c r="I90" s="19" t="s">
        <v>861</v>
      </c>
      <c r="J90" s="19" t="s">
        <v>862</v>
      </c>
      <c r="K90" s="19">
        <v>40.6490843</v>
      </c>
      <c r="L90" s="19">
        <v>14.6113693</v>
      </c>
      <c r="M90" s="29" t="str">
        <f t="shared" si="6"/>
        <v>https://www.google.com/maps/search/Villa%20Rufolo</v>
      </c>
      <c r="N90" s="24" t="s">
        <v>560</v>
      </c>
      <c r="O90" s="19" t="s">
        <v>561</v>
      </c>
      <c r="P90" s="25" t="str">
        <f t="shared" si="1"/>
        <v>Ravello</v>
      </c>
      <c r="Q90" s="25" t="str">
        <f t="shared" si="2"/>
        <v>Hotel Rufolo, Ravello, Italy</v>
      </c>
      <c r="R90" s="25" t="str">
        <f>VLOOKUP(A90,'Travel Times'!$A$1:$E$1000,4,0)</f>
        <v>2 mins</v>
      </c>
      <c r="S90" s="25" t="str">
        <f>VLOOKUP(A90,'Travel Times'!$A$1:$E$1000,5,0)</f>
        <v>1 min</v>
      </c>
    </row>
    <row r="91">
      <c r="A91" s="19" t="s">
        <v>863</v>
      </c>
      <c r="B91" s="19" t="s">
        <v>266</v>
      </c>
      <c r="C91" s="19" t="s">
        <v>858</v>
      </c>
      <c r="D91" s="19" t="s">
        <v>719</v>
      </c>
      <c r="E91" s="19" t="s">
        <v>864</v>
      </c>
      <c r="F91" s="19" t="s">
        <v>865</v>
      </c>
      <c r="G91" s="19" t="s">
        <v>866</v>
      </c>
      <c r="H91" s="19" t="s">
        <v>867</v>
      </c>
      <c r="I91" s="19" t="s">
        <v>868</v>
      </c>
      <c r="J91" s="19" t="s">
        <v>869</v>
      </c>
      <c r="K91" s="19">
        <v>40.644269</v>
      </c>
      <c r="L91" s="19">
        <v>14.611034</v>
      </c>
      <c r="M91" s="29" t="str">
        <f t="shared" si="6"/>
        <v>https://www.google.com/maps/search/Villa%20Cimbrone</v>
      </c>
      <c r="N91" s="24" t="s">
        <v>560</v>
      </c>
      <c r="O91" s="19" t="s">
        <v>561</v>
      </c>
      <c r="P91" s="25" t="str">
        <f t="shared" si="1"/>
        <v>Ravello</v>
      </c>
      <c r="Q91" s="25" t="str">
        <f t="shared" si="2"/>
        <v>Hotel Rufolo, Ravello, Italy</v>
      </c>
      <c r="R91" s="25" t="str">
        <f>VLOOKUP(A91,'Travel Times'!$A$1:$E$1000,4,0)</f>
        <v>9 mins</v>
      </c>
      <c r="S91" s="25" t="str">
        <f>VLOOKUP(A91,'Travel Times'!$A$1:$E$1000,5,0)</f>
        <v>5 mins</v>
      </c>
    </row>
    <row r="92">
      <c r="A92" s="19" t="s">
        <v>870</v>
      </c>
      <c r="B92" s="19" t="s">
        <v>266</v>
      </c>
      <c r="C92" s="19" t="s">
        <v>570</v>
      </c>
      <c r="D92" s="19" t="s">
        <v>571</v>
      </c>
      <c r="E92" s="19" t="s">
        <v>871</v>
      </c>
      <c r="F92" s="19" t="s">
        <v>872</v>
      </c>
      <c r="G92" s="19" t="s">
        <v>873</v>
      </c>
      <c r="H92" s="19" t="s">
        <v>403</v>
      </c>
      <c r="I92" s="19" t="s">
        <v>874</v>
      </c>
      <c r="J92" s="19" t="s">
        <v>476</v>
      </c>
      <c r="K92" s="19">
        <v>40.6491825</v>
      </c>
      <c r="L92" s="19">
        <v>14.6116481</v>
      </c>
      <c r="M92" s="29" t="str">
        <f t="shared" si="6"/>
        <v>https://www.google.com/maps/search/Duomo%20di%20Ravello</v>
      </c>
      <c r="N92" s="24" t="s">
        <v>560</v>
      </c>
      <c r="O92" s="19" t="s">
        <v>561</v>
      </c>
      <c r="P92" s="25" t="str">
        <f t="shared" si="1"/>
        <v>Ravello</v>
      </c>
      <c r="Q92" s="25" t="str">
        <f t="shared" si="2"/>
        <v>Hotel Rufolo, Ravello, Italy</v>
      </c>
      <c r="R92" s="25" t="str">
        <f>VLOOKUP(A92,'Travel Times'!$A$1:$E$1000,4,0)</f>
        <v>2 mins</v>
      </c>
      <c r="S92" s="25" t="str">
        <f>VLOOKUP(A92,'Travel Times'!$A$1:$E$1000,5,0)</f>
        <v>1 min</v>
      </c>
    </row>
    <row r="93">
      <c r="A93" s="19" t="s">
        <v>875</v>
      </c>
      <c r="B93" s="19" t="s">
        <v>373</v>
      </c>
      <c r="C93" s="19" t="s">
        <v>876</v>
      </c>
      <c r="D93" s="19" t="s">
        <v>727</v>
      </c>
      <c r="E93" s="19" t="s">
        <v>877</v>
      </c>
      <c r="F93" s="19" t="s">
        <v>878</v>
      </c>
      <c r="G93" s="19" t="s">
        <v>879</v>
      </c>
      <c r="H93" s="19" t="s">
        <v>880</v>
      </c>
      <c r="I93" s="19" t="s">
        <v>818</v>
      </c>
      <c r="J93" s="19" t="s">
        <v>819</v>
      </c>
      <c r="K93" s="19">
        <v>40.6338303</v>
      </c>
      <c r="L93" s="19">
        <v>14.6027661</v>
      </c>
      <c r="M93" s="29" t="str">
        <f t="shared" si="6"/>
        <v>https://www.google.com/maps/search/Path%20of%20the%20Gods%20%28Sentiero%20degli%20Dei%29</v>
      </c>
      <c r="N93" s="24" t="s">
        <v>560</v>
      </c>
      <c r="O93" s="19" t="s">
        <v>561</v>
      </c>
      <c r="P93" s="25" t="str">
        <f t="shared" si="1"/>
        <v>Positano</v>
      </c>
      <c r="Q93" s="25" t="str">
        <f t="shared" si="2"/>
        <v>Hotel Savoia, Positano, Italy</v>
      </c>
      <c r="R93" s="25" t="str">
        <f>VLOOKUP(A93,'Travel Times'!$A$1:$E$1000,4,0)</f>
        <v>4 hours 39 mins</v>
      </c>
      <c r="S93" s="25" t="str">
        <f>VLOOKUP(A93,'Travel Times'!$A$1:$E$1000,5,0)</f>
        <v>37 mins</v>
      </c>
    </row>
    <row r="94">
      <c r="A94" s="19" t="s">
        <v>881</v>
      </c>
      <c r="B94" s="19" t="s">
        <v>266</v>
      </c>
      <c r="C94" s="19" t="s">
        <v>882</v>
      </c>
      <c r="D94" s="19" t="s">
        <v>649</v>
      </c>
      <c r="E94" s="19" t="s">
        <v>883</v>
      </c>
      <c r="F94" s="19" t="s">
        <v>884</v>
      </c>
      <c r="G94" s="19" t="s">
        <v>689</v>
      </c>
      <c r="H94" s="28">
        <v>3000.0</v>
      </c>
      <c r="I94" s="19" t="s">
        <v>885</v>
      </c>
      <c r="J94" s="19" t="s">
        <v>886</v>
      </c>
      <c r="K94" s="19">
        <v>40.651503</v>
      </c>
      <c r="L94" s="19">
        <v>14.6129517</v>
      </c>
      <c r="M94" s="29" t="str">
        <f t="shared" si="6"/>
        <v>https://www.google.com/maps/search/Belmond%20Villa%20Margherita</v>
      </c>
      <c r="N94" s="24" t="s">
        <v>560</v>
      </c>
      <c r="O94" s="19" t="s">
        <v>561</v>
      </c>
      <c r="P94" s="25" t="str">
        <f t="shared" si="1"/>
        <v>Ravello</v>
      </c>
      <c r="Q94" s="25" t="str">
        <f t="shared" si="2"/>
        <v>Hotel Rufolo, Ravello, Italy</v>
      </c>
      <c r="R94" s="25" t="str">
        <f>VLOOKUP(A94,'Travel Times'!$A$1:$E$1000,4,0)</f>
        <v>8 mins</v>
      </c>
      <c r="S94" s="25" t="str">
        <f>VLOOKUP(A94,'Travel Times'!$A$1:$E$1000,5,0)</f>
        <v>3 mins</v>
      </c>
    </row>
    <row r="95">
      <c r="A95" s="19" t="s">
        <v>887</v>
      </c>
      <c r="B95" s="19" t="s">
        <v>373</v>
      </c>
      <c r="C95" s="19" t="s">
        <v>888</v>
      </c>
      <c r="D95" s="19" t="s">
        <v>889</v>
      </c>
      <c r="E95" s="19" t="s">
        <v>890</v>
      </c>
      <c r="F95" s="19" t="s">
        <v>891</v>
      </c>
      <c r="G95" s="19" t="s">
        <v>892</v>
      </c>
      <c r="H95" s="28">
        <v>3000.0</v>
      </c>
      <c r="I95" s="19" t="s">
        <v>818</v>
      </c>
      <c r="J95" s="19" t="s">
        <v>893</v>
      </c>
      <c r="K95" s="19">
        <v>40.5828024</v>
      </c>
      <c r="L95" s="19">
        <v>14.4341215</v>
      </c>
      <c r="M95" s="29" t="str">
        <f t="shared" si="6"/>
        <v>https://www.google.com/maps/search/Li%20Galli%20Islands</v>
      </c>
      <c r="N95" s="24" t="s">
        <v>560</v>
      </c>
      <c r="O95" s="19" t="s">
        <v>561</v>
      </c>
      <c r="P95" s="25" t="str">
        <f t="shared" si="1"/>
        <v>Positano</v>
      </c>
      <c r="Q95" s="25" t="str">
        <f t="shared" si="2"/>
        <v>Hotel Savoia, Positano, Italy</v>
      </c>
      <c r="R95" s="25" t="str">
        <f>VLOOKUP(A95,'Travel Times'!$A$1:$E$1000,4,0)</f>
        <v>4 hours 39 mins</v>
      </c>
      <c r="S95" s="25" t="str">
        <f>VLOOKUP(A95,'Travel Times'!$A$1:$E$1000,5,0)</f>
        <v>37 mins</v>
      </c>
    </row>
    <row r="96">
      <c r="A96" s="19" t="s">
        <v>894</v>
      </c>
      <c r="B96" s="19" t="s">
        <v>373</v>
      </c>
      <c r="C96" s="19" t="s">
        <v>744</v>
      </c>
      <c r="D96" s="19" t="s">
        <v>737</v>
      </c>
      <c r="E96" s="19" t="s">
        <v>895</v>
      </c>
      <c r="F96" s="19" t="s">
        <v>896</v>
      </c>
      <c r="G96" s="19" t="s">
        <v>892</v>
      </c>
      <c r="H96" s="28">
        <v>3000.0</v>
      </c>
      <c r="I96" s="19" t="s">
        <v>818</v>
      </c>
      <c r="J96" s="19" t="s">
        <v>897</v>
      </c>
      <c r="K96" s="19">
        <v>40.6185726</v>
      </c>
      <c r="L96" s="19">
        <v>14.5509614</v>
      </c>
      <c r="M96" s="29" t="str">
        <f t="shared" si="6"/>
        <v>https://www.google.com/maps/search/Furore%20Fjord</v>
      </c>
      <c r="N96" s="24" t="s">
        <v>560</v>
      </c>
      <c r="O96" s="19" t="s">
        <v>561</v>
      </c>
      <c r="P96" s="25" t="str">
        <f t="shared" si="1"/>
        <v>Positano</v>
      </c>
      <c r="Q96" s="25" t="str">
        <f t="shared" si="2"/>
        <v>Hotel Savoia, Positano, Italy</v>
      </c>
      <c r="R96" s="25" t="str">
        <f>VLOOKUP(A96,'Travel Times'!$A$1:$E$1000,4,0)</f>
        <v>4 hours 39 mins</v>
      </c>
      <c r="S96" s="25" t="str">
        <f>VLOOKUP(A96,'Travel Times'!$A$1:$E$1000,5,0)</f>
        <v>37 mins</v>
      </c>
    </row>
    <row r="97">
      <c r="A97" s="19" t="s">
        <v>335</v>
      </c>
      <c r="B97" s="19" t="s">
        <v>373</v>
      </c>
      <c r="C97" s="19" t="s">
        <v>898</v>
      </c>
      <c r="D97" s="19" t="s">
        <v>899</v>
      </c>
      <c r="E97" s="19" t="s">
        <v>900</v>
      </c>
      <c r="F97" s="19" t="s">
        <v>901</v>
      </c>
      <c r="G97" s="19" t="s">
        <v>566</v>
      </c>
      <c r="H97" s="28">
        <v>3000.0</v>
      </c>
      <c r="I97" s="19" t="s">
        <v>818</v>
      </c>
      <c r="J97" s="19" t="s">
        <v>504</v>
      </c>
      <c r="K97" s="19">
        <v>40.6163236</v>
      </c>
      <c r="L97" s="19">
        <v>14.5753912</v>
      </c>
      <c r="M97" s="29" t="str">
        <f t="shared" si="6"/>
        <v>https://www.google.com/maps/search/Conca%20dei%20Marini</v>
      </c>
      <c r="N97" s="24" t="s">
        <v>560</v>
      </c>
      <c r="O97" s="19" t="s">
        <v>561</v>
      </c>
      <c r="P97" s="25" t="str">
        <f t="shared" si="1"/>
        <v>Positano</v>
      </c>
      <c r="Q97" s="25" t="str">
        <f t="shared" si="2"/>
        <v>Hotel Savoia, Positano, Italy</v>
      </c>
      <c r="R97" s="25" t="str">
        <f>VLOOKUP(A97,'Travel Times'!$A$1:$E$1000,4,0)</f>
        <v>4 hours 39 mins</v>
      </c>
      <c r="S97" s="25" t="str">
        <f>VLOOKUP(A97,'Travel Times'!$A$1:$E$1000,5,0)</f>
        <v>37 mins</v>
      </c>
    </row>
    <row r="98">
      <c r="A98" s="19" t="s">
        <v>902</v>
      </c>
      <c r="B98" s="19" t="s">
        <v>373</v>
      </c>
      <c r="C98" s="19" t="s">
        <v>736</v>
      </c>
      <c r="D98" s="19" t="s">
        <v>737</v>
      </c>
      <c r="E98" s="19" t="s">
        <v>903</v>
      </c>
      <c r="F98" s="19" t="s">
        <v>904</v>
      </c>
      <c r="G98" s="19" t="s">
        <v>740</v>
      </c>
      <c r="H98" s="28">
        <v>2500.0</v>
      </c>
      <c r="I98" s="19" t="s">
        <v>818</v>
      </c>
      <c r="J98" s="19" t="s">
        <v>905</v>
      </c>
      <c r="K98" s="19">
        <v>40.6150824</v>
      </c>
      <c r="L98" s="19">
        <v>14.5670273</v>
      </c>
      <c r="M98" s="29" t="str">
        <f t="shared" si="6"/>
        <v>https://www.google.com/maps/search/Emerald%20Grotto</v>
      </c>
      <c r="N98" s="24" t="s">
        <v>560</v>
      </c>
      <c r="O98" s="19" t="s">
        <v>561</v>
      </c>
      <c r="P98" s="25" t="str">
        <f t="shared" si="1"/>
        <v>Positano</v>
      </c>
      <c r="Q98" s="25" t="str">
        <f t="shared" si="2"/>
        <v>Hotel Savoia, Positano, Italy</v>
      </c>
      <c r="R98" s="25" t="str">
        <f>VLOOKUP(A98,'Travel Times'!$A$1:$E$1000,4,0)</f>
        <v>4 hours 31 mins</v>
      </c>
      <c r="S98" s="25" t="str">
        <f>VLOOKUP(A98,'Travel Times'!$A$1:$E$1000,5,0)</f>
        <v>24 mins</v>
      </c>
    </row>
    <row r="99">
      <c r="A99" s="19" t="s">
        <v>906</v>
      </c>
      <c r="B99" s="19" t="s">
        <v>365</v>
      </c>
      <c r="C99" s="19" t="s">
        <v>907</v>
      </c>
      <c r="D99" s="19" t="s">
        <v>470</v>
      </c>
      <c r="E99" s="19" t="s">
        <v>908</v>
      </c>
      <c r="F99" s="19" t="s">
        <v>909</v>
      </c>
      <c r="G99" s="19" t="s">
        <v>566</v>
      </c>
      <c r="H99" s="19" t="s">
        <v>524</v>
      </c>
      <c r="I99" s="19" t="s">
        <v>818</v>
      </c>
      <c r="J99" s="19" t="s">
        <v>819</v>
      </c>
      <c r="K99" s="19">
        <v>40.6338303</v>
      </c>
      <c r="L99" s="19">
        <v>14.6027661</v>
      </c>
      <c r="M99" s="29" t="str">
        <f t="shared" si="6"/>
        <v>https://www.google.com/maps/search/Amalfi%20Town%20Historic%20Center</v>
      </c>
      <c r="N99" s="24" t="s">
        <v>560</v>
      </c>
      <c r="O99" s="19" t="s">
        <v>561</v>
      </c>
      <c r="P99" s="25" t="str">
        <f t="shared" si="1"/>
        <v>Positano</v>
      </c>
      <c r="Q99" s="25" t="str">
        <f t="shared" si="2"/>
        <v>Hotel Savoia, Positano, Italy</v>
      </c>
      <c r="R99" s="25" t="str">
        <f>VLOOKUP(A99,'Travel Times'!$A$1:$E$1000,4,0)</f>
        <v>4 hours 40 mins</v>
      </c>
      <c r="S99" s="25" t="str">
        <f>VLOOKUP(A99,'Travel Times'!$A$1:$E$1000,5,0)</f>
        <v>37 mins</v>
      </c>
    </row>
    <row r="100">
      <c r="A100" s="19" t="s">
        <v>910</v>
      </c>
      <c r="B100" s="19" t="s">
        <v>365</v>
      </c>
      <c r="C100" s="19" t="s">
        <v>586</v>
      </c>
      <c r="D100" s="19" t="s">
        <v>571</v>
      </c>
      <c r="E100" s="19" t="s">
        <v>911</v>
      </c>
      <c r="F100" s="19" t="s">
        <v>912</v>
      </c>
      <c r="G100" s="19" t="s">
        <v>566</v>
      </c>
      <c r="H100" s="28">
        <v>2500.0</v>
      </c>
      <c r="I100" s="19" t="s">
        <v>913</v>
      </c>
      <c r="J100" s="19" t="s">
        <v>914</v>
      </c>
      <c r="K100" s="19">
        <v>40.6342211</v>
      </c>
      <c r="L100" s="19">
        <v>14.6026726</v>
      </c>
      <c r="M100" s="29" t="str">
        <f t="shared" si="6"/>
        <v>https://www.google.com/maps/search/Piazza%20del%20Duomo</v>
      </c>
      <c r="N100" s="24" t="s">
        <v>560</v>
      </c>
      <c r="O100" s="19" t="s">
        <v>561</v>
      </c>
      <c r="P100" s="25" t="str">
        <f t="shared" si="1"/>
        <v>Positano</v>
      </c>
      <c r="Q100" s="25" t="str">
        <f t="shared" si="2"/>
        <v>Hotel Savoia, Positano, Italy</v>
      </c>
      <c r="R100" s="25" t="str">
        <f>VLOOKUP(A100,'Travel Times'!$A$1:$E$1000,4,0)</f>
        <v>4 hours 41 mins</v>
      </c>
      <c r="S100" s="25" t="str">
        <f>VLOOKUP(A100,'Travel Times'!$A$1:$E$1000,5,0)</f>
        <v>37 mins</v>
      </c>
    </row>
    <row r="101">
      <c r="A101" s="19" t="s">
        <v>915</v>
      </c>
      <c r="B101" s="19" t="s">
        <v>61</v>
      </c>
      <c r="C101" s="19" t="s">
        <v>916</v>
      </c>
      <c r="D101" s="19" t="s">
        <v>785</v>
      </c>
      <c r="E101" s="19" t="s">
        <v>917</v>
      </c>
      <c r="F101" s="19" t="s">
        <v>918</v>
      </c>
      <c r="G101" s="19" t="s">
        <v>832</v>
      </c>
      <c r="H101" s="28">
        <v>2500.0</v>
      </c>
      <c r="I101" s="19" t="s">
        <v>919</v>
      </c>
      <c r="J101" s="19" t="s">
        <v>856</v>
      </c>
      <c r="K101" s="19">
        <v>40.6263545</v>
      </c>
      <c r="L101" s="19">
        <v>14.4822477</v>
      </c>
      <c r="M101" s="29" t="str">
        <f t="shared" si="6"/>
        <v>https://www.google.com/maps/search/Fornillo%20Beach</v>
      </c>
      <c r="N101" s="24" t="s">
        <v>560</v>
      </c>
      <c r="O101" s="19" t="s">
        <v>561</v>
      </c>
      <c r="P101" s="25" t="str">
        <f t="shared" si="1"/>
        <v>Positano</v>
      </c>
      <c r="Q101" s="25" t="str">
        <f t="shared" si="2"/>
        <v>Hotel Savoia, Positano, Italy</v>
      </c>
      <c r="R101" s="25" t="str">
        <f>VLOOKUP(A101,'Travel Times'!$A$1:$E$1000,4,0)</f>
        <v>13 mins</v>
      </c>
      <c r="S101" s="25" t="str">
        <f>VLOOKUP(A101,'Travel Times'!$A$1:$E$1000,5,0)</f>
        <v>14 mins</v>
      </c>
    </row>
    <row r="102">
      <c r="A102" s="19" t="s">
        <v>920</v>
      </c>
      <c r="B102" s="19" t="s">
        <v>79</v>
      </c>
      <c r="C102" s="19" t="s">
        <v>921</v>
      </c>
      <c r="D102" s="19" t="s">
        <v>922</v>
      </c>
      <c r="E102" s="19" t="s">
        <v>923</v>
      </c>
      <c r="F102" s="19" t="s">
        <v>924</v>
      </c>
      <c r="G102" s="19" t="s">
        <v>660</v>
      </c>
      <c r="H102" s="28">
        <v>1200.0</v>
      </c>
      <c r="I102" s="19" t="s">
        <v>925</v>
      </c>
      <c r="J102" s="19" t="s">
        <v>926</v>
      </c>
      <c r="K102" s="19">
        <v>40.5520861</v>
      </c>
      <c r="L102" s="19">
        <v>14.2177508</v>
      </c>
      <c r="M102" s="29" t="str">
        <f t="shared" si="6"/>
        <v>https://www.google.com/maps/search/Anacapri%20Town%20Center</v>
      </c>
      <c r="N102" s="24" t="s">
        <v>560</v>
      </c>
      <c r="O102" s="19" t="s">
        <v>561</v>
      </c>
      <c r="P102" s="25" t="str">
        <f t="shared" si="1"/>
        <v>Capri</v>
      </c>
      <c r="Q102" s="25" t="str">
        <f t="shared" si="2"/>
        <v>La Residenza, Capri, Italy</v>
      </c>
      <c r="R102" s="25" t="str">
        <f>VLOOKUP(A102,'Travel Times'!$A$1:$E$1000,4,0)</f>
        <v>53 mins</v>
      </c>
      <c r="S102" s="25" t="str">
        <f>VLOOKUP(A102,'Travel Times'!$A$1:$E$1000,5,0)</f>
        <v>11 mins</v>
      </c>
    </row>
    <row r="103">
      <c r="A103" s="19" t="s">
        <v>927</v>
      </c>
      <c r="B103" s="19" t="s">
        <v>243</v>
      </c>
      <c r="C103" s="19" t="s">
        <v>921</v>
      </c>
      <c r="D103" s="19" t="s">
        <v>922</v>
      </c>
      <c r="E103" s="19" t="s">
        <v>928</v>
      </c>
      <c r="F103" s="19" t="s">
        <v>929</v>
      </c>
      <c r="G103" s="19" t="s">
        <v>850</v>
      </c>
      <c r="H103" s="28">
        <v>2500.0</v>
      </c>
      <c r="I103" s="19" t="s">
        <v>275</v>
      </c>
      <c r="J103" s="19" t="s">
        <v>286</v>
      </c>
      <c r="K103" s="19">
        <v>40.5507259</v>
      </c>
      <c r="L103" s="19">
        <v>14.2429</v>
      </c>
      <c r="M103" s="29" t="str">
        <f t="shared" si="6"/>
        <v>https://www.google.com/maps/search/Capri%20Town%20Center</v>
      </c>
      <c r="N103" s="24" t="s">
        <v>560</v>
      </c>
      <c r="O103" s="19" t="s">
        <v>561</v>
      </c>
      <c r="P103" s="25" t="str">
        <f t="shared" si="1"/>
        <v>Capri</v>
      </c>
      <c r="Q103" s="25" t="str">
        <f t="shared" si="2"/>
        <v>La Residenza, Capri, Italy</v>
      </c>
      <c r="R103" s="25" t="str">
        <f>VLOOKUP(A103,'Travel Times'!$A$1:$E$1000,4,0)</f>
        <v>4 mins</v>
      </c>
      <c r="S103" s="25" t="str">
        <f>VLOOKUP(A103,'Travel Times'!$A$1:$E$1000,5,0)</f>
        <v>1 min</v>
      </c>
    </row>
    <row r="104">
      <c r="A104" s="19" t="s">
        <v>930</v>
      </c>
      <c r="B104" s="19" t="s">
        <v>61</v>
      </c>
      <c r="C104" s="19" t="s">
        <v>921</v>
      </c>
      <c r="D104" s="19" t="s">
        <v>922</v>
      </c>
      <c r="E104" s="19" t="s">
        <v>931</v>
      </c>
      <c r="F104" s="19" t="s">
        <v>932</v>
      </c>
      <c r="G104" s="19" t="s">
        <v>566</v>
      </c>
      <c r="H104" s="28">
        <v>3000.0</v>
      </c>
      <c r="I104" s="19" t="s">
        <v>933</v>
      </c>
      <c r="J104" s="19" t="s">
        <v>934</v>
      </c>
      <c r="K104" s="19">
        <v>40.6294824</v>
      </c>
      <c r="L104" s="19">
        <v>14.4823462</v>
      </c>
      <c r="M104" s="29" t="str">
        <f t="shared" si="6"/>
        <v>https://www.google.com/maps/search/Positano%20Vertical%20Town</v>
      </c>
      <c r="N104" s="24" t="s">
        <v>560</v>
      </c>
      <c r="O104" s="19" t="s">
        <v>561</v>
      </c>
      <c r="P104" s="25" t="str">
        <f t="shared" si="1"/>
        <v>Positano</v>
      </c>
      <c r="Q104" s="25" t="str">
        <f t="shared" si="2"/>
        <v>Hotel Savoia, Positano, Italy</v>
      </c>
      <c r="R104" s="25" t="str">
        <f>VLOOKUP(A104,'Travel Times'!$A$1:$E$1000,4,0)</f>
        <v>15 mins</v>
      </c>
      <c r="S104" s="25" t="str">
        <f>VLOOKUP(A104,'Travel Times'!$A$1:$E$1000,5,0)</f>
        <v>8 mins</v>
      </c>
    </row>
    <row r="105">
      <c r="A105" s="19" t="s">
        <v>935</v>
      </c>
      <c r="B105" s="19" t="s">
        <v>266</v>
      </c>
      <c r="C105" s="19" t="s">
        <v>921</v>
      </c>
      <c r="D105" s="19" t="s">
        <v>936</v>
      </c>
      <c r="E105" s="19" t="s">
        <v>937</v>
      </c>
      <c r="F105" s="19" t="s">
        <v>938</v>
      </c>
      <c r="G105" s="19" t="s">
        <v>566</v>
      </c>
      <c r="H105" s="28">
        <v>3000.0</v>
      </c>
      <c r="I105" s="19" t="s">
        <v>939</v>
      </c>
      <c r="J105" s="19" t="s">
        <v>484</v>
      </c>
      <c r="K105" s="19">
        <v>40.6515802</v>
      </c>
      <c r="L105" s="19">
        <v>14.6140606</v>
      </c>
      <c r="M105" s="29" t="str">
        <f t="shared" si="6"/>
        <v>https://www.google.com/maps/search/Ravello%20Mountain%20Town</v>
      </c>
      <c r="N105" s="24" t="s">
        <v>560</v>
      </c>
      <c r="O105" s="19" t="s">
        <v>561</v>
      </c>
      <c r="P105" s="25" t="str">
        <f t="shared" si="1"/>
        <v>Ravello</v>
      </c>
      <c r="Q105" s="25" t="str">
        <f t="shared" si="2"/>
        <v>Hotel Rufolo, Ravello, Italy</v>
      </c>
      <c r="R105" s="25" t="str">
        <f>VLOOKUP(A105,'Travel Times'!$A$1:$E$1000,4,0)</f>
        <v>7 mins</v>
      </c>
      <c r="S105" s="25" t="str">
        <f>VLOOKUP(A105,'Travel Times'!$A$1:$E$1000,5,0)</f>
        <v>3 mins</v>
      </c>
    </row>
    <row r="106">
      <c r="A106" s="19" t="s">
        <v>940</v>
      </c>
      <c r="B106" s="19" t="s">
        <v>243</v>
      </c>
      <c r="C106" s="19" t="s">
        <v>941</v>
      </c>
      <c r="D106" s="19" t="s">
        <v>771</v>
      </c>
      <c r="E106" s="19" t="s">
        <v>942</v>
      </c>
      <c r="F106" s="19" t="s">
        <v>943</v>
      </c>
      <c r="G106" s="19" t="s">
        <v>944</v>
      </c>
      <c r="H106" s="19" t="s">
        <v>445</v>
      </c>
      <c r="I106" s="19" t="s">
        <v>945</v>
      </c>
      <c r="J106" s="19" t="s">
        <v>946</v>
      </c>
      <c r="K106" s="19">
        <v>40.5560455</v>
      </c>
      <c r="L106" s="19">
        <v>14.2389676</v>
      </c>
      <c r="M106" s="29" t="str">
        <f t="shared" si="6"/>
        <v>https://www.google.com/maps/search/Marina%20Grande%20Funicular</v>
      </c>
      <c r="N106" s="24" t="s">
        <v>560</v>
      </c>
      <c r="O106" s="19" t="s">
        <v>561</v>
      </c>
      <c r="P106" s="25" t="str">
        <f t="shared" si="1"/>
        <v>Capri</v>
      </c>
      <c r="Q106" s="25" t="str">
        <f t="shared" si="2"/>
        <v>La Residenza, Capri, Italy</v>
      </c>
      <c r="R106" s="25" t="str">
        <f>VLOOKUP(A106,'Travel Times'!$A$1:$E$1000,4,0)</f>
        <v>21 mins</v>
      </c>
      <c r="S106" s="25" t="str">
        <f>VLOOKUP(A106,'Travel Times'!$A$1:$E$1000,5,0)</f>
        <v>10 mins</v>
      </c>
    </row>
    <row r="107">
      <c r="A107" s="19" t="s">
        <v>947</v>
      </c>
      <c r="B107" s="19" t="s">
        <v>255</v>
      </c>
      <c r="C107" s="19" t="s">
        <v>948</v>
      </c>
      <c r="D107" s="19" t="s">
        <v>521</v>
      </c>
      <c r="E107" s="19" t="s">
        <v>949</v>
      </c>
      <c r="F107" s="19" t="s">
        <v>950</v>
      </c>
      <c r="G107" s="19" t="s">
        <v>614</v>
      </c>
      <c r="H107" s="19" t="s">
        <v>951</v>
      </c>
      <c r="I107" s="19" t="s">
        <v>952</v>
      </c>
      <c r="J107" s="19" t="s">
        <v>953</v>
      </c>
      <c r="K107" s="19">
        <v>40.836603</v>
      </c>
      <c r="L107" s="19">
        <v>14.2440567</v>
      </c>
      <c r="M107" s="29" t="str">
        <f t="shared" si="6"/>
        <v>https://www.google.com/maps/search/Osteria%20della%20Mattonella</v>
      </c>
      <c r="N107" s="24" t="s">
        <v>560</v>
      </c>
      <c r="O107" s="19" t="s">
        <v>561</v>
      </c>
      <c r="P107" s="25" t="str">
        <f t="shared" si="1"/>
        <v>Naples</v>
      </c>
      <c r="Q107" s="25" t="str">
        <f t="shared" si="2"/>
        <v>Relais sul Mare Boutique Hotel, Naples, Italy</v>
      </c>
      <c r="R107" s="25" t="str">
        <f>VLOOKUP(A107,'Travel Times'!$A$1:$E$1000,4,0)</f>
        <v>16 mins</v>
      </c>
      <c r="S107" s="25" t="str">
        <f>VLOOKUP(A107,'Travel Times'!$A$1:$E$1000,5,0)</f>
        <v>11 mins</v>
      </c>
    </row>
    <row r="108">
      <c r="A108" s="19" t="s">
        <v>954</v>
      </c>
      <c r="B108" s="19" t="s">
        <v>61</v>
      </c>
      <c r="C108" s="19" t="s">
        <v>440</v>
      </c>
      <c r="D108" s="19" t="s">
        <v>785</v>
      </c>
      <c r="E108" s="19" t="s">
        <v>955</v>
      </c>
      <c r="F108" s="19" t="s">
        <v>956</v>
      </c>
      <c r="G108" s="19" t="s">
        <v>582</v>
      </c>
      <c r="H108" s="19" t="s">
        <v>403</v>
      </c>
      <c r="I108" s="19" t="s">
        <v>957</v>
      </c>
      <c r="J108" s="19" t="s">
        <v>958</v>
      </c>
      <c r="K108" s="19">
        <v>40.6225647</v>
      </c>
      <c r="L108" s="19">
        <v>14.507127</v>
      </c>
      <c r="M108" s="29" t="str">
        <f t="shared" si="6"/>
        <v>https://www.google.com/maps/search/Laurito%20Beach%20Club</v>
      </c>
      <c r="N108" s="24" t="s">
        <v>560</v>
      </c>
      <c r="O108" s="19" t="s">
        <v>561</v>
      </c>
      <c r="P108" s="25" t="str">
        <f t="shared" si="1"/>
        <v>Positano</v>
      </c>
      <c r="Q108" s="25" t="str">
        <f t="shared" si="2"/>
        <v>Hotel Savoia, Positano, Italy</v>
      </c>
      <c r="R108" s="25" t="str">
        <f>VLOOKUP(A108,'Travel Times'!$A$1:$E$1000,4,0)</f>
        <v>37 mins</v>
      </c>
      <c r="S108" s="25" t="str">
        <f>VLOOKUP(A108,'Travel Times'!$A$1:$E$1000,5,0)</f>
        <v>7 mins</v>
      </c>
    </row>
    <row r="109">
      <c r="A109" s="19" t="s">
        <v>959</v>
      </c>
      <c r="B109" s="19" t="s">
        <v>243</v>
      </c>
      <c r="C109" s="19" t="s">
        <v>440</v>
      </c>
      <c r="D109" s="19" t="s">
        <v>785</v>
      </c>
      <c r="E109" s="19" t="s">
        <v>960</v>
      </c>
      <c r="F109" s="19" t="s">
        <v>961</v>
      </c>
      <c r="G109" s="19" t="s">
        <v>582</v>
      </c>
      <c r="H109" s="19" t="s">
        <v>445</v>
      </c>
      <c r="I109" s="19" t="s">
        <v>962</v>
      </c>
      <c r="J109" s="19" t="s">
        <v>963</v>
      </c>
      <c r="K109" s="19">
        <v>40.5453166</v>
      </c>
      <c r="L109" s="19">
        <v>14.2340931</v>
      </c>
      <c r="M109" s="29" t="str">
        <f t="shared" si="6"/>
        <v>https://www.google.com/maps/search/Da%20Gioia%20Beach%20Club</v>
      </c>
      <c r="N109" s="24" t="s">
        <v>560</v>
      </c>
      <c r="O109" s="19" t="s">
        <v>561</v>
      </c>
      <c r="P109" s="25" t="str">
        <f t="shared" si="1"/>
        <v>Capri</v>
      </c>
      <c r="Q109" s="25" t="str">
        <f t="shared" si="2"/>
        <v>La Residenza, Capri, Italy</v>
      </c>
      <c r="R109" s="25" t="str">
        <f>VLOOKUP(A109,'Travel Times'!$A$1:$E$1000,4,0)</f>
        <v>23 mins</v>
      </c>
      <c r="S109" s="25" t="str">
        <f>VLOOKUP(A109,'Travel Times'!$A$1:$E$1000,5,0)</f>
        <v>8 mins</v>
      </c>
    </row>
    <row r="110">
      <c r="A110" s="19" t="s">
        <v>964</v>
      </c>
      <c r="B110" s="19" t="s">
        <v>243</v>
      </c>
      <c r="C110" s="19" t="s">
        <v>440</v>
      </c>
      <c r="D110" s="19" t="s">
        <v>785</v>
      </c>
      <c r="E110" s="19" t="s">
        <v>965</v>
      </c>
      <c r="F110" s="19" t="s">
        <v>966</v>
      </c>
      <c r="G110" s="19" t="s">
        <v>967</v>
      </c>
      <c r="H110" s="28" t="s">
        <v>445</v>
      </c>
      <c r="I110" s="19" t="s">
        <v>968</v>
      </c>
      <c r="J110" s="19" t="s">
        <v>969</v>
      </c>
      <c r="K110" s="19">
        <v>40.543128</v>
      </c>
      <c r="L110" s="19">
        <v>14.2525968</v>
      </c>
      <c r="M110" s="29" t="str">
        <f t="shared" ref="M110:M119" si="7">HYPERLINK("https://www.google.com/maps/search/"&amp;ENCODEURL(A110&amp;", "&amp;F110))</f>
        <v>https://www.google.com/maps/search/Da%20Luigi%27s%2C%20N%2FA</v>
      </c>
      <c r="N110" s="24" t="s">
        <v>970</v>
      </c>
      <c r="O110" s="19" t="s">
        <v>971</v>
      </c>
      <c r="P110" s="25" t="str">
        <f t="shared" si="1"/>
        <v>Capri</v>
      </c>
      <c r="Q110" s="25" t="str">
        <f t="shared" si="2"/>
        <v>La Residenza, Capri, Italy</v>
      </c>
      <c r="R110" s="25" t="str">
        <f>VLOOKUP(A110,'Travel Times'!$A$1:$E$1000,4,0)</f>
        <v>25 mins</v>
      </c>
      <c r="S110" s="25" t="str">
        <f>VLOOKUP(A110,'Travel Times'!$A$1:$E$1000,5,0)</f>
        <v>1 min</v>
      </c>
    </row>
    <row r="111">
      <c r="A111" s="19" t="s">
        <v>972</v>
      </c>
      <c r="B111" s="19" t="s">
        <v>61</v>
      </c>
      <c r="C111" s="19" t="s">
        <v>440</v>
      </c>
      <c r="D111" s="19" t="s">
        <v>785</v>
      </c>
      <c r="E111" s="19" t="s">
        <v>973</v>
      </c>
      <c r="F111" s="19" t="s">
        <v>966</v>
      </c>
      <c r="G111" s="19" t="s">
        <v>967</v>
      </c>
      <c r="H111" s="19" t="s">
        <v>974</v>
      </c>
      <c r="I111" s="19" t="s">
        <v>975</v>
      </c>
      <c r="J111" s="19" t="s">
        <v>976</v>
      </c>
      <c r="K111" s="19">
        <v>40.6247046</v>
      </c>
      <c r="L111" s="19">
        <v>14.500676</v>
      </c>
      <c r="M111" s="29" t="str">
        <f t="shared" si="7"/>
        <v>https://www.google.com/maps/search/Arienzo%20Beach%20Club%2C%20N%2FA</v>
      </c>
      <c r="N111" s="24" t="s">
        <v>970</v>
      </c>
      <c r="O111" s="19" t="s">
        <v>971</v>
      </c>
      <c r="P111" s="25" t="str">
        <f t="shared" si="1"/>
        <v>Positano</v>
      </c>
      <c r="Q111" s="25" t="str">
        <f t="shared" si="2"/>
        <v>Hotel Savoia, Positano, Italy</v>
      </c>
      <c r="R111" s="25" t="str">
        <f>VLOOKUP(A111,'Travel Times'!$A$1:$E$1000,4,0)</f>
        <v>25 mins</v>
      </c>
      <c r="S111" s="25" t="str">
        <f>VLOOKUP(A111,'Travel Times'!$A$1:$E$1000,5,0)</f>
        <v>4 mins</v>
      </c>
    </row>
    <row r="112">
      <c r="A112" s="19" t="s">
        <v>169</v>
      </c>
      <c r="B112" s="19" t="s">
        <v>50</v>
      </c>
      <c r="C112" s="19" t="s">
        <v>977</v>
      </c>
      <c r="D112" s="19" t="s">
        <v>785</v>
      </c>
      <c r="E112" s="19" t="s">
        <v>978</v>
      </c>
      <c r="F112" s="19" t="s">
        <v>966</v>
      </c>
      <c r="G112" s="19" t="s">
        <v>967</v>
      </c>
      <c r="H112" s="28" t="s">
        <v>966</v>
      </c>
      <c r="I112" s="19" t="s">
        <v>979</v>
      </c>
      <c r="J112" s="19" t="s">
        <v>510</v>
      </c>
      <c r="K112" s="19">
        <v>40.6134729</v>
      </c>
      <c r="L112" s="19">
        <v>14.5394424</v>
      </c>
      <c r="M112" s="29" t="str">
        <f t="shared" si="7"/>
        <v>https://www.google.com/maps/search/Marina%20di%20Praia%2C%20N%2FA</v>
      </c>
      <c r="N112" s="24" t="s">
        <v>970</v>
      </c>
      <c r="O112" s="19" t="s">
        <v>971</v>
      </c>
      <c r="P112" s="25" t="str">
        <f t="shared" si="1"/>
        <v>Positano</v>
      </c>
      <c r="Q112" s="25" t="str">
        <f t="shared" si="2"/>
        <v>Hotel Savoia, Positano, Italy</v>
      </c>
      <c r="R112" s="25" t="str">
        <f>VLOOKUP(A112,'Travel Times'!$A$1:$E$1000,4,0)</f>
        <v>2 hours 4 mins</v>
      </c>
      <c r="S112" s="25" t="str">
        <f>VLOOKUP(A112,'Travel Times'!$A$1:$E$1000,5,0)</f>
        <v>20 mins</v>
      </c>
    </row>
    <row r="113">
      <c r="A113" s="19" t="s">
        <v>165</v>
      </c>
      <c r="B113" s="19" t="s">
        <v>381</v>
      </c>
      <c r="C113" s="19" t="s">
        <v>980</v>
      </c>
      <c r="D113" s="19" t="s">
        <v>785</v>
      </c>
      <c r="E113" s="19" t="s">
        <v>981</v>
      </c>
      <c r="F113" s="19" t="s">
        <v>966</v>
      </c>
      <c r="G113" s="19" t="s">
        <v>967</v>
      </c>
      <c r="H113" s="28" t="s">
        <v>966</v>
      </c>
      <c r="I113" s="19" t="s">
        <v>982</v>
      </c>
      <c r="J113" s="19" t="s">
        <v>983</v>
      </c>
      <c r="K113" s="19">
        <v>40.6141604</v>
      </c>
      <c r="L113" s="19">
        <v>14.5421669</v>
      </c>
      <c r="M113" s="29" t="str">
        <f t="shared" si="7"/>
        <v>https://www.google.com/maps/search/Fiordo%20di%20Furore%2C%20N%2FA</v>
      </c>
      <c r="N113" s="24" t="s">
        <v>984</v>
      </c>
      <c r="O113" s="19" t="s">
        <v>971</v>
      </c>
      <c r="P113" s="25" t="str">
        <f t="shared" si="1"/>
        <v>Positano</v>
      </c>
      <c r="Q113" s="25" t="str">
        <f t="shared" si="2"/>
        <v>Hotel Savoia, Positano, Italy</v>
      </c>
      <c r="R113" s="25" t="str">
        <f>VLOOKUP(A113,'Travel Times'!$A$1:$E$1000,4,0)</f>
        <v>3 hours 34 mins</v>
      </c>
      <c r="S113" s="25" t="str">
        <f>VLOOKUP(A113,'Travel Times'!$A$1:$E$1000,5,0)</f>
        <v>22 mins</v>
      </c>
    </row>
    <row r="114">
      <c r="A114" s="19" t="s">
        <v>875</v>
      </c>
      <c r="B114" s="19" t="s">
        <v>388</v>
      </c>
      <c r="C114" s="19" t="s">
        <v>876</v>
      </c>
      <c r="D114" s="19" t="s">
        <v>985</v>
      </c>
      <c r="E114" s="19" t="s">
        <v>986</v>
      </c>
      <c r="F114" s="19" t="s">
        <v>987</v>
      </c>
      <c r="G114" s="19" t="s">
        <v>967</v>
      </c>
      <c r="H114" s="28" t="s">
        <v>966</v>
      </c>
      <c r="I114" s="19" t="s">
        <v>988</v>
      </c>
      <c r="J114" s="19" t="s">
        <v>989</v>
      </c>
      <c r="K114" s="19">
        <v>40.6216598</v>
      </c>
      <c r="L114" s="19">
        <v>14.5208185</v>
      </c>
      <c r="M114" s="29" t="str">
        <f t="shared" si="7"/>
        <v>https://www.google.com/maps/search/Path%20of%20the%20Gods%20%28Sentiero%20degli%20Dei%29%2C%20Recommended%20early</v>
      </c>
      <c r="N114" s="24" t="s">
        <v>984</v>
      </c>
      <c r="O114" s="19" t="s">
        <v>971</v>
      </c>
      <c r="P114" s="25" t="str">
        <f t="shared" si="1"/>
        <v>Positano</v>
      </c>
      <c r="Q114" s="25" t="str">
        <f t="shared" si="2"/>
        <v>Hotel Savoia, Positano, Italy</v>
      </c>
      <c r="R114" s="25" t="str">
        <f>VLOOKUP(A114,'Travel Times'!$A$1:$E$1000,4,0)</f>
        <v>4 hours 39 mins</v>
      </c>
      <c r="S114" s="25" t="str">
        <f>VLOOKUP(A114,'Travel Times'!$A$1:$E$1000,5,0)</f>
        <v>37 mins</v>
      </c>
    </row>
    <row r="115">
      <c r="A115" s="19" t="s">
        <v>857</v>
      </c>
      <c r="B115" s="19" t="s">
        <v>266</v>
      </c>
      <c r="C115" s="19" t="s">
        <v>990</v>
      </c>
      <c r="D115" s="19" t="s">
        <v>470</v>
      </c>
      <c r="E115" s="19" t="s">
        <v>991</v>
      </c>
      <c r="F115" s="19" t="s">
        <v>966</v>
      </c>
      <c r="G115" s="19" t="s">
        <v>967</v>
      </c>
      <c r="H115" s="19" t="s">
        <v>880</v>
      </c>
      <c r="I115" s="19" t="s">
        <v>861</v>
      </c>
      <c r="J115" s="19" t="s">
        <v>862</v>
      </c>
      <c r="K115" s="19">
        <v>40.6490843</v>
      </c>
      <c r="L115" s="19">
        <v>14.6113693</v>
      </c>
      <c r="M115" s="29" t="str">
        <f t="shared" si="7"/>
        <v>https://www.google.com/maps/search/Villa%20Rufolo%2C%20N%2FA</v>
      </c>
      <c r="N115" s="24" t="s">
        <v>984</v>
      </c>
      <c r="O115" s="19" t="s">
        <v>971</v>
      </c>
      <c r="P115" s="25" t="str">
        <f t="shared" si="1"/>
        <v>Ravello</v>
      </c>
      <c r="Q115" s="25" t="str">
        <f t="shared" si="2"/>
        <v>Hotel Rufolo, Ravello, Italy</v>
      </c>
      <c r="R115" s="25" t="str">
        <f>VLOOKUP(A115,'Travel Times'!$A$1:$E$1000,4,0)</f>
        <v>2 mins</v>
      </c>
      <c r="S115" s="25" t="str">
        <f>VLOOKUP(A115,'Travel Times'!$A$1:$E$1000,5,0)</f>
        <v>1 min</v>
      </c>
    </row>
    <row r="116">
      <c r="A116" s="19" t="s">
        <v>992</v>
      </c>
      <c r="B116" s="19" t="s">
        <v>50</v>
      </c>
      <c r="C116" s="19" t="s">
        <v>977</v>
      </c>
      <c r="D116" s="19" t="s">
        <v>785</v>
      </c>
      <c r="E116" s="19" t="s">
        <v>993</v>
      </c>
      <c r="F116" s="19" t="s">
        <v>966</v>
      </c>
      <c r="G116" s="19" t="s">
        <v>967</v>
      </c>
      <c r="H116" s="28" t="s">
        <v>966</v>
      </c>
      <c r="I116" s="19" t="s">
        <v>994</v>
      </c>
      <c r="J116" s="19" t="s">
        <v>498</v>
      </c>
      <c r="K116" s="19">
        <v>40.6117319</v>
      </c>
      <c r="L116" s="19">
        <v>14.5335099</v>
      </c>
      <c r="M116" s="29" t="str">
        <f t="shared" si="7"/>
        <v>https://www.google.com/maps/search/Spiaggia%20di%20Praia%2C%20N%2FA</v>
      </c>
      <c r="N116" s="24" t="s">
        <v>984</v>
      </c>
      <c r="O116" s="19" t="s">
        <v>971</v>
      </c>
      <c r="P116" s="25" t="str">
        <f t="shared" si="1"/>
        <v>Positano</v>
      </c>
      <c r="Q116" s="25" t="str">
        <f t="shared" si="2"/>
        <v>Hotel Savoia, Positano, Italy</v>
      </c>
      <c r="R116" s="25" t="str">
        <f>VLOOKUP(A116,'Travel Times'!$A$1:$E$1000,4,0)</f>
        <v>1 hour 47 mins</v>
      </c>
      <c r="S116" s="25" t="str">
        <f>VLOOKUP(A116,'Travel Times'!$A$1:$E$1000,5,0)</f>
        <v>17 mins</v>
      </c>
    </row>
    <row r="117">
      <c r="A117" s="19" t="s">
        <v>995</v>
      </c>
      <c r="B117" s="19" t="s">
        <v>243</v>
      </c>
      <c r="C117" s="19" t="s">
        <v>996</v>
      </c>
      <c r="D117" s="19" t="s">
        <v>997</v>
      </c>
      <c r="E117" s="19" t="s">
        <v>998</v>
      </c>
      <c r="F117" s="19" t="s">
        <v>999</v>
      </c>
      <c r="G117" s="19" t="s">
        <v>967</v>
      </c>
      <c r="H117" s="28" t="s">
        <v>966</v>
      </c>
      <c r="I117" s="19" t="s">
        <v>1000</v>
      </c>
      <c r="J117" s="19" t="s">
        <v>1001</v>
      </c>
      <c r="K117" s="19">
        <v>40.540163</v>
      </c>
      <c r="L117" s="19">
        <v>14.2528574</v>
      </c>
      <c r="M117" s="29" t="str">
        <f t="shared" si="7"/>
        <v>https://www.google.com/maps/search/Faraglioni%2C%20Accessible%20via%20boat%20during%20daylight%20hours</v>
      </c>
      <c r="N117" s="24" t="s">
        <v>984</v>
      </c>
      <c r="O117" s="19" t="s">
        <v>971</v>
      </c>
      <c r="P117" s="25" t="str">
        <f t="shared" si="1"/>
        <v>Capri</v>
      </c>
      <c r="Q117" s="25" t="str">
        <f t="shared" si="2"/>
        <v>La Residenza, Capri, Italy</v>
      </c>
      <c r="R117" s="25" t="str">
        <f>VLOOKUP(A117,'Travel Times'!$A$1:$E$1000,4,0)</f>
        <v>24 mins</v>
      </c>
      <c r="S117" s="25" t="str">
        <f>VLOOKUP(A117,'Travel Times'!$A$1:$E$1000,5,0)</f>
        <v>1 min</v>
      </c>
    </row>
    <row r="118">
      <c r="A118" s="19" t="s">
        <v>1002</v>
      </c>
      <c r="B118" s="19" t="s">
        <v>243</v>
      </c>
      <c r="C118" s="19" t="s">
        <v>1003</v>
      </c>
      <c r="D118" s="19" t="s">
        <v>737</v>
      </c>
      <c r="E118" s="19" t="s">
        <v>1004</v>
      </c>
      <c r="F118" s="19" t="s">
        <v>999</v>
      </c>
      <c r="G118" s="19" t="s">
        <v>967</v>
      </c>
      <c r="H118" s="28" t="s">
        <v>966</v>
      </c>
      <c r="I118" s="19" t="s">
        <v>1005</v>
      </c>
      <c r="J118" s="19" t="s">
        <v>1006</v>
      </c>
      <c r="K118" s="19">
        <v>40.551155</v>
      </c>
      <c r="L118" s="19">
        <v>14.2479425</v>
      </c>
      <c r="M118" s="29" t="str">
        <f t="shared" si="7"/>
        <v>https://www.google.com/maps/search/Grotta%20Bianca%2C%20Accessible%20via%20boat%20during%20daylight%20hours</v>
      </c>
      <c r="N118" s="24" t="s">
        <v>984</v>
      </c>
      <c r="O118" s="19" t="s">
        <v>971</v>
      </c>
      <c r="P118" s="25" t="str">
        <f t="shared" si="1"/>
        <v>Capri</v>
      </c>
      <c r="Q118" s="25" t="str">
        <f t="shared" si="2"/>
        <v>La Residenza, Capri, Italy</v>
      </c>
      <c r="R118" s="25" t="str">
        <f>VLOOKUP(A118,'Travel Times'!$A$1:$E$1000,4,0)</f>
        <v>31 mins</v>
      </c>
      <c r="S118" s="25" t="str">
        <f>VLOOKUP(A118,'Travel Times'!$A$1:$E$1000,5,0)</f>
        <v>11 mins</v>
      </c>
    </row>
    <row r="119">
      <c r="A119" s="19" t="s">
        <v>1007</v>
      </c>
      <c r="B119" s="19" t="s">
        <v>79</v>
      </c>
      <c r="C119" s="19" t="s">
        <v>1008</v>
      </c>
      <c r="D119" s="19" t="s">
        <v>1009</v>
      </c>
      <c r="E119" s="19" t="s">
        <v>1010</v>
      </c>
      <c r="F119" s="19" t="s">
        <v>966</v>
      </c>
      <c r="G119" s="19" t="s">
        <v>967</v>
      </c>
      <c r="H119" s="28" t="s">
        <v>966</v>
      </c>
      <c r="I119" s="19" t="s">
        <v>1011</v>
      </c>
      <c r="J119" s="19" t="s">
        <v>1012</v>
      </c>
      <c r="K119" s="19">
        <v>40.5449719</v>
      </c>
      <c r="L119" s="19">
        <v>14.2229833</v>
      </c>
      <c r="M119" s="29" t="str">
        <f t="shared" si="7"/>
        <v>https://www.google.com/maps/search/Monte%20Solaro%2C%20N%2FA</v>
      </c>
      <c r="N119" s="24" t="s">
        <v>984</v>
      </c>
      <c r="O119" s="19" t="s">
        <v>971</v>
      </c>
      <c r="P119" s="25" t="str">
        <f t="shared" si="1"/>
        <v>Capri</v>
      </c>
      <c r="Q119" s="25" t="str">
        <f t="shared" si="2"/>
        <v>La Residenza, Capri, Italy</v>
      </c>
      <c r="R119" s="25" t="str">
        <f>VLOOKUP(A119,'Travel Times'!$A$1:$E$1000,4,0)</f>
        <v>1 hour 10 mins</v>
      </c>
      <c r="S119" s="25" t="str">
        <f>VLOOKUP(A119,'Travel Times'!$A$1:$E$1000,5,0)</f>
        <v>16 mins</v>
      </c>
    </row>
    <row r="120">
      <c r="A120" s="19" t="s">
        <v>1013</v>
      </c>
      <c r="B120" s="19" t="s">
        <v>255</v>
      </c>
      <c r="C120" s="19" t="s">
        <v>133</v>
      </c>
      <c r="D120" s="19" t="s">
        <v>390</v>
      </c>
      <c r="E120" s="19" t="s">
        <v>1014</v>
      </c>
      <c r="F120" s="19" t="s">
        <v>1015</v>
      </c>
      <c r="G120" s="19" t="s">
        <v>1016</v>
      </c>
      <c r="H120" s="19" t="s">
        <v>1017</v>
      </c>
      <c r="I120" s="19" t="str">
        <f>VLOOKUP(A120,'Manus All Chiaia'!$A$1:$I$70,9,0)&amp;", Italy"</f>
        <v>Via Alabardieri 38, 80121 Naples, Italy</v>
      </c>
      <c r="J120" s="19" t="str">
        <f>IFERROR(__xludf.DUMMYFUNCTION("JOIN("", "",K120,L120)"),"40.837, 14.2468")</f>
        <v>40.837, 14.2468</v>
      </c>
      <c r="K120" s="25">
        <f>VLOOKUP($A120,'Manus All Chiaia'!$A$1:$K$70,10,0)</f>
        <v>40.837</v>
      </c>
      <c r="L120" s="25">
        <f>VLOOKUP($A120,'Manus All Chiaia'!$A$1:$K$70,11,0)</f>
        <v>14.2468</v>
      </c>
      <c r="M120" s="29" t="str">
        <f t="shared" ref="M120:M158" si="8">HYPERLINK("https://www.google.com/maps/search/"&amp;ENCODEURL(A120&amp;", Naples"))</f>
        <v>https://www.google.com/maps/search/Palazzo%20Alabardieri%2C%20Naples</v>
      </c>
      <c r="N120" s="24" t="s">
        <v>1018</v>
      </c>
      <c r="O120" s="19" t="s">
        <v>1019</v>
      </c>
      <c r="P120" s="25" t="str">
        <f t="shared" si="1"/>
        <v>Naples</v>
      </c>
      <c r="Q120" s="25" t="str">
        <f t="shared" si="2"/>
        <v>Relais sul Mare Boutique Hotel, Naples, Italy</v>
      </c>
      <c r="R120" s="25" t="str">
        <f>VLOOKUP(A120,'Travel Times'!$A$1:$E$1000,4,0)</f>
        <v>16 mins</v>
      </c>
      <c r="S120" s="25" t="str">
        <f>VLOOKUP(A120,'Travel Times'!$A$1:$E$1000,5,0)</f>
        <v>10 mins</v>
      </c>
    </row>
    <row r="121">
      <c r="A121" s="19" t="s">
        <v>1020</v>
      </c>
      <c r="B121" s="19" t="s">
        <v>255</v>
      </c>
      <c r="C121" s="19" t="s">
        <v>133</v>
      </c>
      <c r="D121" s="19" t="s">
        <v>390</v>
      </c>
      <c r="E121" s="19" t="s">
        <v>1021</v>
      </c>
      <c r="F121" s="19" t="s">
        <v>1022</v>
      </c>
      <c r="G121" s="19" t="s">
        <v>1016</v>
      </c>
      <c r="H121" s="19" t="s">
        <v>1023</v>
      </c>
      <c r="I121" s="19" t="str">
        <f>VLOOKUP(A121,'Manus All Chiaia'!$A$1:$I$70,9,0)&amp;", Italy"</f>
        <v>Via Poerio 25, 80121 Naples, Italy</v>
      </c>
      <c r="J121" s="19" t="str">
        <f>IFERROR(__xludf.DUMMYFUNCTION("JOIN("", "",K121,L121)"),"40.8355, 14.2445")</f>
        <v>40.8355, 14.2445</v>
      </c>
      <c r="K121" s="25">
        <f>VLOOKUP($A121,'Manus All Chiaia'!$A$1:$K$70,10,0)</f>
        <v>40.8355</v>
      </c>
      <c r="L121" s="25">
        <f>VLOOKUP($A121,'Manus All Chiaia'!$A$1:$K$70,11,0)</f>
        <v>14.2445</v>
      </c>
      <c r="M121" s="29" t="str">
        <f t="shared" si="8"/>
        <v>https://www.google.com/maps/search/Hotel%20Poerio%2025%20Boutique%20Stay%2C%20Naples</v>
      </c>
      <c r="N121" s="24" t="s">
        <v>1018</v>
      </c>
      <c r="O121" s="19" t="s">
        <v>1019</v>
      </c>
      <c r="P121" s="25" t="str">
        <f t="shared" si="1"/>
        <v>Naples</v>
      </c>
      <c r="Q121" s="25" t="str">
        <f t="shared" si="2"/>
        <v>Relais sul Mare Boutique Hotel, Naples, Italy</v>
      </c>
      <c r="R121" s="25" t="str">
        <f>VLOOKUP(A121,'Travel Times'!$A$1:$E$1000,4,0)</f>
        <v>17 mins</v>
      </c>
      <c r="S121" s="25" t="str">
        <f>VLOOKUP(A121,'Travel Times'!$A$1:$E$1000,5,0)</f>
        <v>11 mins</v>
      </c>
    </row>
    <row r="122">
      <c r="A122" s="19" t="s">
        <v>1024</v>
      </c>
      <c r="B122" s="19" t="s">
        <v>255</v>
      </c>
      <c r="C122" s="19" t="s">
        <v>133</v>
      </c>
      <c r="D122" s="19" t="s">
        <v>390</v>
      </c>
      <c r="E122" s="19" t="s">
        <v>1025</v>
      </c>
      <c r="F122" s="19" t="s">
        <v>1026</v>
      </c>
      <c r="G122" s="19" t="s">
        <v>1016</v>
      </c>
      <c r="H122" s="19" t="s">
        <v>1027</v>
      </c>
      <c r="I122" s="19" t="str">
        <f>VLOOKUP(A122,'Manus All Chiaia'!$A$1:$I$70,9,0)&amp;", Italy"</f>
        <v>Via Chiaia, Naples, Italy</v>
      </c>
      <c r="J122" s="19" t="str">
        <f>IFERROR(__xludf.DUMMYFUNCTION("JOIN("", "",K122,L122)"),"40.838, 14.247")</f>
        <v>40.838, 14.247</v>
      </c>
      <c r="K122" s="25">
        <f>VLOOKUP($A122,'Manus All Chiaia'!$A$1:$K$70,10,0)</f>
        <v>40.838</v>
      </c>
      <c r="L122" s="25">
        <f>VLOOKUP($A122,'Manus All Chiaia'!$A$1:$K$70,11,0)</f>
        <v>14.247</v>
      </c>
      <c r="M122" s="29" t="str">
        <f t="shared" si="8"/>
        <v>https://www.google.com/maps/search/Prestige%20Rooms%20Chiaia%2C%20Naples</v>
      </c>
      <c r="N122" s="24" t="s">
        <v>1018</v>
      </c>
      <c r="O122" s="19" t="s">
        <v>1019</v>
      </c>
      <c r="P122" s="25" t="str">
        <f t="shared" si="1"/>
        <v>Naples</v>
      </c>
      <c r="Q122" s="25" t="str">
        <f t="shared" si="2"/>
        <v>Relais sul Mare Boutique Hotel, Naples, Italy</v>
      </c>
      <c r="R122" s="25" t="str">
        <f>VLOOKUP(A122,'Travel Times'!$A$1:$E$1000,4,0)</f>
        <v>25 mins</v>
      </c>
      <c r="S122" s="25" t="str">
        <f>VLOOKUP(A122,'Travel Times'!$A$1:$E$1000,5,0)</f>
        <v>7 mins</v>
      </c>
    </row>
    <row r="123">
      <c r="A123" s="19" t="s">
        <v>1028</v>
      </c>
      <c r="B123" s="19" t="s">
        <v>255</v>
      </c>
      <c r="C123" s="19" t="s">
        <v>133</v>
      </c>
      <c r="D123" s="19" t="s">
        <v>390</v>
      </c>
      <c r="E123" s="19" t="s">
        <v>1029</v>
      </c>
      <c r="F123" s="19" t="s">
        <v>1030</v>
      </c>
      <c r="G123" s="19" t="s">
        <v>1016</v>
      </c>
      <c r="H123" s="19" t="s">
        <v>1031</v>
      </c>
      <c r="I123" s="19" t="str">
        <f>VLOOKUP(A123,'Manus All Chiaia'!$A$1:$I$70,9,0)&amp;", Italy"</f>
        <v>Via Chiaia area, Naples, Italy</v>
      </c>
      <c r="J123" s="19" t="str">
        <f>IFERROR(__xludf.DUMMYFUNCTION("JOIN("", "",K123,L123)"),"40.838, 14.247")</f>
        <v>40.838, 14.247</v>
      </c>
      <c r="K123" s="25">
        <f>VLOOKUP($A123,'Manus All Chiaia'!$A$1:$K$70,10,0)</f>
        <v>40.838</v>
      </c>
      <c r="L123" s="25">
        <f>VLOOKUP($A123,'Manus All Chiaia'!$A$1:$K$70,11,0)</f>
        <v>14.247</v>
      </c>
      <c r="M123" s="29" t="str">
        <f t="shared" si="8"/>
        <v>https://www.google.com/maps/search/Il%20Salotto%20della%20Regina%2C%20Naples</v>
      </c>
      <c r="N123" s="24" t="s">
        <v>1018</v>
      </c>
      <c r="O123" s="19" t="s">
        <v>1019</v>
      </c>
      <c r="P123" s="25" t="str">
        <f t="shared" si="1"/>
        <v>Naples</v>
      </c>
      <c r="Q123" s="25" t="str">
        <f t="shared" si="2"/>
        <v>Relais sul Mare Boutique Hotel, Naples, Italy</v>
      </c>
      <c r="R123" s="25" t="str">
        <f>VLOOKUP(A123,'Travel Times'!$A$1:$E$1000,4,0)</f>
        <v>32 mins</v>
      </c>
      <c r="S123" s="25" t="str">
        <f>VLOOKUP(A123,'Travel Times'!$A$1:$E$1000,5,0)</f>
        <v>9 mins</v>
      </c>
    </row>
    <row r="124">
      <c r="A124" s="19" t="s">
        <v>1032</v>
      </c>
      <c r="B124" s="19" t="s">
        <v>255</v>
      </c>
      <c r="C124" s="19" t="s">
        <v>133</v>
      </c>
      <c r="D124" s="19" t="s">
        <v>390</v>
      </c>
      <c r="E124" s="19" t="s">
        <v>1033</v>
      </c>
      <c r="F124" s="19" t="s">
        <v>1034</v>
      </c>
      <c r="G124" s="19" t="s">
        <v>1016</v>
      </c>
      <c r="H124" s="19" t="s">
        <v>1035</v>
      </c>
      <c r="I124" s="19" t="str">
        <f>VLOOKUP(A124,'Manus All Chiaia'!$A$1:$I$70,9,0)&amp;", Italy"</f>
        <v>Corso Vittorio Emanuele 135, 80121 Naples, Italy</v>
      </c>
      <c r="J124" s="19" t="str">
        <f>IFERROR(__xludf.DUMMYFUNCTION("JOIN("", "",K124,L124)"),"40.8395, 14.2485")</f>
        <v>40.8395, 14.2485</v>
      </c>
      <c r="K124" s="25">
        <f>VLOOKUP($A124,'Manus All Chiaia'!$A$1:$K$70,10,0)</f>
        <v>40.8395</v>
      </c>
      <c r="L124" s="25">
        <f>VLOOKUP($A124,'Manus All Chiaia'!$A$1:$K$70,11,0)</f>
        <v>14.2485</v>
      </c>
      <c r="M124" s="29" t="str">
        <f t="shared" si="8"/>
        <v>https://www.google.com/maps/search/Grand%20Hotel%20Parker%27s%2C%20Naples</v>
      </c>
      <c r="N124" s="24" t="s">
        <v>1018</v>
      </c>
      <c r="O124" s="19" t="s">
        <v>1019</v>
      </c>
      <c r="P124" s="25" t="str">
        <f t="shared" si="1"/>
        <v>Naples</v>
      </c>
      <c r="Q124" s="25" t="str">
        <f t="shared" si="2"/>
        <v>Relais sul Mare Boutique Hotel, Naples, Italy</v>
      </c>
      <c r="R124" s="25" t="str">
        <f>VLOOKUP(A124,'Travel Times'!$A$1:$E$1000,4,0)</f>
        <v>39 mins</v>
      </c>
      <c r="S124" s="25" t="str">
        <f>VLOOKUP(A124,'Travel Times'!$A$1:$E$1000,5,0)</f>
        <v>10 mins</v>
      </c>
    </row>
    <row r="125">
      <c r="A125" s="19" t="s">
        <v>1036</v>
      </c>
      <c r="B125" s="19" t="s">
        <v>255</v>
      </c>
      <c r="C125" s="19" t="s">
        <v>302</v>
      </c>
      <c r="D125" s="19" t="s">
        <v>291</v>
      </c>
      <c r="E125" s="19" t="s">
        <v>1037</v>
      </c>
      <c r="F125" s="19" t="s">
        <v>1038</v>
      </c>
      <c r="G125" s="19" t="s">
        <v>1039</v>
      </c>
      <c r="H125" s="19" t="s">
        <v>1040</v>
      </c>
      <c r="I125" s="19" t="str">
        <f>VLOOKUP(A125,'Manus All Chiaia'!$A$1:$I$70,9,0)&amp;", Italy"</f>
        <v>Via Partenope 45, Grand Hotel Vesuvio, 80121 Naples, Italy</v>
      </c>
      <c r="J125" s="19" t="str">
        <f>IFERROR(__xludf.DUMMYFUNCTION("JOIN("", "",K125,L125)"),"40.832, 14.252")</f>
        <v>40.832, 14.252</v>
      </c>
      <c r="K125" s="25">
        <f>VLOOKUP($A125,'Manus All Chiaia'!$A$1:$K$70,10,0)</f>
        <v>40.832</v>
      </c>
      <c r="L125" s="25">
        <f>VLOOKUP($A125,'Manus All Chiaia'!$A$1:$K$70,11,0)</f>
        <v>14.252</v>
      </c>
      <c r="M125" s="29" t="str">
        <f t="shared" si="8"/>
        <v>https://www.google.com/maps/search/Caruso%20Roof%20Garden%2C%20Naples</v>
      </c>
      <c r="N125" s="24" t="s">
        <v>1018</v>
      </c>
      <c r="O125" s="19" t="s">
        <v>1019</v>
      </c>
      <c r="P125" s="25" t="str">
        <f t="shared" si="1"/>
        <v>Naples</v>
      </c>
      <c r="Q125" s="25" t="str">
        <f t="shared" si="2"/>
        <v>Relais sul Mare Boutique Hotel, Naples, Italy</v>
      </c>
      <c r="R125" s="25" t="str">
        <f>VLOOKUP(A125,'Travel Times'!$A$1:$E$1000,4,0)</f>
        <v>3 mins</v>
      </c>
      <c r="S125" s="25" t="str">
        <f>VLOOKUP(A125,'Travel Times'!$A$1:$E$1000,5,0)</f>
        <v>8 mins</v>
      </c>
    </row>
    <row r="126">
      <c r="A126" s="30" t="s">
        <v>1041</v>
      </c>
      <c r="B126" s="19" t="s">
        <v>255</v>
      </c>
      <c r="C126" s="19" t="s">
        <v>290</v>
      </c>
      <c r="D126" s="19" t="s">
        <v>291</v>
      </c>
      <c r="E126" s="19" t="s">
        <v>1042</v>
      </c>
      <c r="F126" s="19" t="s">
        <v>1043</v>
      </c>
      <c r="G126" s="19" t="s">
        <v>1044</v>
      </c>
      <c r="H126" s="19" t="s">
        <v>1045</v>
      </c>
      <c r="I126" s="19" t="str">
        <f>VLOOKUP(A126,'Manus All Chiaia'!$A$1:$I$70,9,0)&amp;", Italy"</f>
        <v>Calata Ponticello a Santa Lucia 1E, 80132 Naples, Italy</v>
      </c>
      <c r="J126" s="19" t="str">
        <f>IFERROR(__xludf.DUMMYFUNCTION("JOIN("", "",K126,L126)"),"40.8315, 14.2515")</f>
        <v>40.8315, 14.2515</v>
      </c>
      <c r="K126" s="25">
        <f>VLOOKUP($A126,'Manus All Chiaia'!$A$1:$K$70,10,0)</f>
        <v>40.8315</v>
      </c>
      <c r="L126" s="25">
        <f>VLOOKUP($A126,'Manus All Chiaia'!$A$1:$K$70,11,0)</f>
        <v>14.2515</v>
      </c>
      <c r="M126" s="29" t="str">
        <f t="shared" si="8"/>
        <v>https://www.google.com/maps/search/A%20Fenestella%2C%20Naples</v>
      </c>
      <c r="N126" s="24" t="s">
        <v>1018</v>
      </c>
      <c r="O126" s="19" t="s">
        <v>1019</v>
      </c>
      <c r="P126" s="25" t="str">
        <f t="shared" si="1"/>
        <v>Naples</v>
      </c>
      <c r="Q126" s="25" t="str">
        <f t="shared" si="2"/>
        <v>Relais sul Mare Boutique Hotel, Naples, Italy</v>
      </c>
      <c r="R126" s="25" t="str">
        <f>VLOOKUP(A126,'Travel Times'!$A$1:$E$1000,4,0)</f>
        <v>1 hour 54 mins</v>
      </c>
      <c r="S126" s="25" t="str">
        <f>VLOOKUP(A126,'Travel Times'!$A$1:$E$1000,5,0)</f>
        <v>23 mins</v>
      </c>
    </row>
    <row r="127">
      <c r="A127" s="19" t="s">
        <v>1046</v>
      </c>
      <c r="B127" s="19" t="s">
        <v>255</v>
      </c>
      <c r="C127" s="19" t="s">
        <v>290</v>
      </c>
      <c r="D127" s="19" t="s">
        <v>291</v>
      </c>
      <c r="E127" s="19" t="s">
        <v>1047</v>
      </c>
      <c r="F127" s="19" t="s">
        <v>1048</v>
      </c>
      <c r="G127" s="19" t="s">
        <v>1049</v>
      </c>
      <c r="H127" s="19" t="s">
        <v>1050</v>
      </c>
      <c r="I127" s="19" t="str">
        <f>VLOOKUP(A127,'Manus All Chiaia'!$A$1:$I$70,9,0)&amp;", Italy"</f>
        <v>Via Cuma 42, 80132 Naples, Italy</v>
      </c>
      <c r="J127" s="19" t="str">
        <f>IFERROR(__xludf.DUMMYFUNCTION("JOIN("", "",K127,L127)"),"40.8325, 14.2525")</f>
        <v>40.8325, 14.2525</v>
      </c>
      <c r="K127" s="25">
        <f>VLOOKUP($A127,'Manus All Chiaia'!$A$1:$K$70,10,0)</f>
        <v>40.8325</v>
      </c>
      <c r="L127" s="25">
        <f>VLOOKUP($A127,'Manus All Chiaia'!$A$1:$K$70,11,0)</f>
        <v>14.2525</v>
      </c>
      <c r="M127" s="29" t="str">
        <f t="shared" si="8"/>
        <v>https://www.google.com/maps/search/La%20Cantinella%2C%20Naples</v>
      </c>
      <c r="N127" s="24" t="s">
        <v>1018</v>
      </c>
      <c r="O127" s="19" t="s">
        <v>1019</v>
      </c>
      <c r="P127" s="25" t="str">
        <f t="shared" si="1"/>
        <v>Naples</v>
      </c>
      <c r="Q127" s="25" t="str">
        <f t="shared" si="2"/>
        <v>Relais sul Mare Boutique Hotel, Naples, Italy</v>
      </c>
      <c r="R127" s="25" t="str">
        <f>VLOOKUP(A127,'Travel Times'!$A$1:$E$1000,4,0)</f>
        <v>3 mins</v>
      </c>
      <c r="S127" s="25" t="str">
        <f>VLOOKUP(A127,'Travel Times'!$A$1:$E$1000,5,0)</f>
        <v>1 min</v>
      </c>
    </row>
    <row r="128">
      <c r="A128" s="19" t="s">
        <v>597</v>
      </c>
      <c r="B128" s="19" t="s">
        <v>255</v>
      </c>
      <c r="C128" s="19" t="s">
        <v>302</v>
      </c>
      <c r="D128" s="19" t="s">
        <v>291</v>
      </c>
      <c r="E128" s="19" t="s">
        <v>1051</v>
      </c>
      <c r="F128" s="19" t="s">
        <v>1052</v>
      </c>
      <c r="G128" s="19" t="s">
        <v>1053</v>
      </c>
      <c r="H128" s="19" t="s">
        <v>1054</v>
      </c>
      <c r="I128" s="19" t="str">
        <f>VLOOKUP(A128,'Manus All Chiaia'!$A$1:$I$70,9,0)&amp;", Italy"</f>
        <v>Piazza San Domenico Maggiore 4, 80134 Naples, Italy</v>
      </c>
      <c r="J128" s="19" t="str">
        <f>IFERROR(__xludf.DUMMYFUNCTION("JOIN("", "",K128,L128)"),"40.847, 14.255")</f>
        <v>40.847, 14.255</v>
      </c>
      <c r="K128" s="25">
        <f>VLOOKUP($A128,'Manus All Chiaia'!$A$1:$K$70,10,0)</f>
        <v>40.847</v>
      </c>
      <c r="L128" s="25">
        <f>VLOOKUP($A128,'Manus All Chiaia'!$A$1:$K$70,11,0)</f>
        <v>14.255</v>
      </c>
      <c r="M128" s="29" t="str">
        <f t="shared" si="8"/>
        <v>https://www.google.com/maps/search/Palazzo%20Petrucci%2C%20Naples</v>
      </c>
      <c r="N128" s="24" t="s">
        <v>1018</v>
      </c>
      <c r="O128" s="19" t="s">
        <v>1019</v>
      </c>
      <c r="P128" s="25" t="str">
        <f t="shared" si="1"/>
        <v>Naples</v>
      </c>
      <c r="Q128" s="25" t="str">
        <f t="shared" si="2"/>
        <v>Relais sul Mare Boutique Hotel, Naples, Italy</v>
      </c>
      <c r="R128" s="25" t="str">
        <f>VLOOKUP(A128,'Travel Times'!$A$1:$E$1000,4,0)</f>
        <v>34 mins</v>
      </c>
      <c r="S128" s="25" t="str">
        <f>VLOOKUP(A128,'Travel Times'!$A$1:$E$1000,5,0)</f>
        <v>9 mins</v>
      </c>
    </row>
    <row r="129">
      <c r="A129" s="19" t="s">
        <v>1055</v>
      </c>
      <c r="B129" s="19" t="s">
        <v>255</v>
      </c>
      <c r="C129" s="19" t="s">
        <v>290</v>
      </c>
      <c r="D129" s="19" t="s">
        <v>291</v>
      </c>
      <c r="E129" s="19" t="s">
        <v>1056</v>
      </c>
      <c r="F129" s="19" t="s">
        <v>1057</v>
      </c>
      <c r="G129" s="19" t="s">
        <v>1058</v>
      </c>
      <c r="H129" s="19" t="s">
        <v>1059</v>
      </c>
      <c r="I129" s="19" t="str">
        <f>VLOOKUP(A129,'Manus All Chiaia'!$A$1:$I$70,9,0)&amp;", Italy"</f>
        <v>Via Luculliana 15, 80132 Naples, Italy</v>
      </c>
      <c r="J129" s="19" t="str">
        <f>IFERROR(__xludf.DUMMYFUNCTION("JOIN("", "",K129,L129)"),"40.831, 14.251")</f>
        <v>40.831, 14.251</v>
      </c>
      <c r="K129" s="25">
        <f>VLOOKUP($A129,'Manus All Chiaia'!$A$1:$K$70,10,0)</f>
        <v>40.831</v>
      </c>
      <c r="L129" s="25">
        <f>VLOOKUP($A129,'Manus All Chiaia'!$A$1:$K$70,11,0)</f>
        <v>14.251</v>
      </c>
      <c r="M129" s="29" t="str">
        <f t="shared" si="8"/>
        <v>https://www.google.com/maps/search/Transatlantico%20Ristorante%20Suite%2C%20Naples</v>
      </c>
      <c r="N129" s="24" t="s">
        <v>1018</v>
      </c>
      <c r="O129" s="19" t="s">
        <v>1019</v>
      </c>
      <c r="P129" s="25" t="str">
        <f t="shared" si="1"/>
        <v>Naples</v>
      </c>
      <c r="Q129" s="25" t="str">
        <f t="shared" si="2"/>
        <v>Relais sul Mare Boutique Hotel, Naples, Italy</v>
      </c>
      <c r="R129" s="25" t="str">
        <f>VLOOKUP(A129,'Travel Times'!$A$1:$E$1000,4,0)</f>
        <v>7 mins</v>
      </c>
      <c r="S129" s="25" t="str">
        <f>VLOOKUP(A129,'Travel Times'!$A$1:$E$1000,5,0)</f>
        <v>2 mins</v>
      </c>
    </row>
    <row r="130">
      <c r="A130" s="19" t="s">
        <v>947</v>
      </c>
      <c r="B130" s="19" t="s">
        <v>255</v>
      </c>
      <c r="C130" s="19" t="s">
        <v>302</v>
      </c>
      <c r="D130" s="19" t="s">
        <v>521</v>
      </c>
      <c r="E130" s="19" t="s">
        <v>1060</v>
      </c>
      <c r="F130" s="19" t="s">
        <v>1061</v>
      </c>
      <c r="G130" s="19" t="s">
        <v>1058</v>
      </c>
      <c r="H130" s="19" t="s">
        <v>1062</v>
      </c>
      <c r="I130" s="19" t="str">
        <f>VLOOKUP(A130,'Manus All Chiaia'!$A$1:$I$70,9,0)&amp;", Italy"</f>
        <v>Via Giovanni Nicotera 13, 80132 Naples, Italy</v>
      </c>
      <c r="J130" s="19" t="str">
        <f>IFERROR(__xludf.DUMMYFUNCTION("JOIN("", "",K130,L130)"),"40.833, 14.253")</f>
        <v>40.833, 14.253</v>
      </c>
      <c r="K130" s="25">
        <f>VLOOKUP($A130,'Manus All Chiaia'!$A$1:$K$70,10,0)</f>
        <v>40.833</v>
      </c>
      <c r="L130" s="25">
        <f>VLOOKUP($A130,'Manus All Chiaia'!$A$1:$K$70,11,0)</f>
        <v>14.253</v>
      </c>
      <c r="M130" s="29" t="str">
        <f t="shared" si="8"/>
        <v>https://www.google.com/maps/search/Osteria%20della%20Mattonella%2C%20Naples</v>
      </c>
      <c r="N130" s="24" t="s">
        <v>1018</v>
      </c>
      <c r="O130" s="19" t="s">
        <v>1019</v>
      </c>
      <c r="P130" s="25" t="str">
        <f t="shared" si="1"/>
        <v>Naples</v>
      </c>
      <c r="Q130" s="25" t="str">
        <f t="shared" si="2"/>
        <v>Relais sul Mare Boutique Hotel, Naples, Italy</v>
      </c>
      <c r="R130" s="25" t="str">
        <f>VLOOKUP(A130,'Travel Times'!$A$1:$E$1000,4,0)</f>
        <v>16 mins</v>
      </c>
      <c r="S130" s="25" t="str">
        <f>VLOOKUP(A130,'Travel Times'!$A$1:$E$1000,5,0)</f>
        <v>11 mins</v>
      </c>
    </row>
    <row r="131">
      <c r="A131" s="19" t="s">
        <v>1063</v>
      </c>
      <c r="B131" s="19" t="s">
        <v>255</v>
      </c>
      <c r="C131" s="19" t="s">
        <v>290</v>
      </c>
      <c r="D131" s="19" t="s">
        <v>409</v>
      </c>
      <c r="E131" s="19" t="s">
        <v>1064</v>
      </c>
      <c r="F131" s="19" t="s">
        <v>1065</v>
      </c>
      <c r="G131" s="19" t="s">
        <v>1058</v>
      </c>
      <c r="H131" s="19" t="s">
        <v>1066</v>
      </c>
      <c r="I131" s="19" t="str">
        <f>VLOOKUP(A131,'Manus All Chiaia'!$A$1:$I$70,9,0)&amp;", Italy"</f>
        <v>Salita Sant'Anna di Palazzo 1/2, 80132 Naples, Italy</v>
      </c>
      <c r="J131" s="19" t="str">
        <f>IFERROR(__xludf.DUMMYFUNCTION("JOIN("", "",K131,L131)"),"40.834, 14.248")</f>
        <v>40.834, 14.248</v>
      </c>
      <c r="K131" s="25">
        <f>VLOOKUP($A131,'Manus All Chiaia'!$A$1:$K$70,10,0)</f>
        <v>40.834</v>
      </c>
      <c r="L131" s="25">
        <f>VLOOKUP($A131,'Manus All Chiaia'!$A$1:$K$70,11,0)</f>
        <v>14.248</v>
      </c>
      <c r="M131" s="29" t="str">
        <f t="shared" si="8"/>
        <v>https://www.google.com/maps/search/Pizzeria%20Brandi%2C%20Naples</v>
      </c>
      <c r="N131" s="24" t="s">
        <v>1018</v>
      </c>
      <c r="O131" s="19" t="s">
        <v>1019</v>
      </c>
      <c r="P131" s="25" t="str">
        <f t="shared" si="1"/>
        <v>Naples</v>
      </c>
      <c r="Q131" s="25" t="str">
        <f t="shared" si="2"/>
        <v>Relais sul Mare Boutique Hotel, Naples, Italy</v>
      </c>
      <c r="R131" s="25" t="str">
        <f>VLOOKUP(A131,'Travel Times'!$A$1:$E$1000,4,0)</f>
        <v>14 mins</v>
      </c>
      <c r="S131" s="25" t="str">
        <f>VLOOKUP(A131,'Travel Times'!$A$1:$E$1000,5,0)</f>
        <v>11 mins</v>
      </c>
    </row>
    <row r="132">
      <c r="A132" s="19" t="s">
        <v>1067</v>
      </c>
      <c r="B132" s="19" t="s">
        <v>255</v>
      </c>
      <c r="C132" s="19" t="s">
        <v>302</v>
      </c>
      <c r="D132" s="19" t="s">
        <v>605</v>
      </c>
      <c r="E132" s="19" t="s">
        <v>1068</v>
      </c>
      <c r="F132" s="19" t="s">
        <v>1069</v>
      </c>
      <c r="G132" s="19" t="s">
        <v>1039</v>
      </c>
      <c r="H132" s="19" t="s">
        <v>1070</v>
      </c>
      <c r="I132" s="19" t="str">
        <f>VLOOKUP(A132,'Manus All Chiaia'!$A$1:$I$70,9,0)&amp;", Italy"</f>
        <v>Corso Vittorio Emanuele 135, Grand Hotel Parker's, 80121 Naples, Italy</v>
      </c>
      <c r="J132" s="19" t="str">
        <f>IFERROR(__xludf.DUMMYFUNCTION("JOIN("", "",K132,L132)"),"40.8395, 14.2485")</f>
        <v>40.8395, 14.2485</v>
      </c>
      <c r="K132" s="25">
        <f>VLOOKUP($A132,'Manus All Chiaia'!$A$1:$K$70,10,0)</f>
        <v>40.8395</v>
      </c>
      <c r="L132" s="25">
        <f>VLOOKUP($A132,'Manus All Chiaia'!$A$1:$K$70,11,0)</f>
        <v>14.2485</v>
      </c>
      <c r="M132" s="29" t="str">
        <f t="shared" si="8"/>
        <v>https://www.google.com/maps/search/George%20Restaurant%2C%20Naples</v>
      </c>
      <c r="N132" s="24" t="s">
        <v>1018</v>
      </c>
      <c r="O132" s="19" t="s">
        <v>1019</v>
      </c>
      <c r="P132" s="25" t="str">
        <f t="shared" si="1"/>
        <v>Naples</v>
      </c>
      <c r="Q132" s="25" t="str">
        <f t="shared" si="2"/>
        <v>Relais sul Mare Boutique Hotel, Naples, Italy</v>
      </c>
      <c r="R132" s="25" t="str">
        <f>VLOOKUP(A132,'Travel Times'!$A$1:$E$1000,4,0)</f>
        <v>38 mins</v>
      </c>
      <c r="S132" s="25" t="str">
        <f>VLOOKUP(A132,'Travel Times'!$A$1:$E$1000,5,0)</f>
        <v>10 mins</v>
      </c>
    </row>
    <row r="133">
      <c r="A133" s="19" t="s">
        <v>1071</v>
      </c>
      <c r="B133" s="19" t="s">
        <v>255</v>
      </c>
      <c r="C133" s="19" t="s">
        <v>1072</v>
      </c>
      <c r="D133" s="19" t="s">
        <v>543</v>
      </c>
      <c r="E133" s="19" t="s">
        <v>1073</v>
      </c>
      <c r="F133" s="19" t="s">
        <v>1074</v>
      </c>
      <c r="G133" s="19" t="s">
        <v>1039</v>
      </c>
      <c r="H133" s="19" t="s">
        <v>1075</v>
      </c>
      <c r="I133" s="19" t="str">
        <f>VLOOKUP(A133,'Manus All Chiaia'!$A$1:$I$70,9,0)&amp;", Italy"</f>
        <v>Corso Vittorio Emanuele 135, Grand Hotel Parker's, 80121 Naples, Italy</v>
      </c>
      <c r="J133" s="19" t="str">
        <f>IFERROR(__xludf.DUMMYFUNCTION("JOIN("", "",K133,L133)"),"40.8395, 14.2485")</f>
        <v>40.8395, 14.2485</v>
      </c>
      <c r="K133" s="25">
        <f>VLOOKUP($A133,'Manus All Chiaia'!$A$1:$K$70,10,0)</f>
        <v>40.8395</v>
      </c>
      <c r="L133" s="25">
        <f>VLOOKUP($A133,'Manus All Chiaia'!$A$1:$K$70,11,0)</f>
        <v>14.2485</v>
      </c>
      <c r="M133" s="29" t="str">
        <f t="shared" si="8"/>
        <v>https://www.google.com/maps/search/Bidder%20Terrace%2C%20Naples</v>
      </c>
      <c r="N133" s="24" t="s">
        <v>1018</v>
      </c>
      <c r="O133" s="19" t="s">
        <v>1019</v>
      </c>
      <c r="P133" s="25" t="str">
        <f t="shared" si="1"/>
        <v>Naples</v>
      </c>
      <c r="Q133" s="25" t="str">
        <f t="shared" si="2"/>
        <v>Relais sul Mare Boutique Hotel, Naples, Italy</v>
      </c>
      <c r="R133" s="25" t="str">
        <f>VLOOKUP(A133,'Travel Times'!$A$1:$E$1000,4,0)</f>
        <v>38 mins</v>
      </c>
      <c r="S133" s="25" t="str">
        <f>VLOOKUP(A133,'Travel Times'!$A$1:$E$1000,5,0)</f>
        <v>10 mins</v>
      </c>
    </row>
    <row r="134">
      <c r="A134" s="19" t="s">
        <v>1076</v>
      </c>
      <c r="B134" s="19" t="s">
        <v>255</v>
      </c>
      <c r="C134" s="19" t="s">
        <v>1072</v>
      </c>
      <c r="D134" s="19" t="s">
        <v>543</v>
      </c>
      <c r="E134" s="19" t="s">
        <v>1077</v>
      </c>
      <c r="F134" s="19" t="s">
        <v>1078</v>
      </c>
      <c r="G134" s="19" t="s">
        <v>1058</v>
      </c>
      <c r="H134" s="19" t="s">
        <v>1050</v>
      </c>
      <c r="I134" s="19" t="str">
        <f>VLOOKUP(A134,'Manus All Chiaia'!$A$1:$I$70,9,0)&amp;", Italy"</f>
        <v>Via Orazio 10, 80123 Naples, Italy</v>
      </c>
      <c r="J134" s="19" t="str">
        <f>IFERROR(__xludf.DUMMYFUNCTION("JOIN("", "",K134,L134)"),"40.815, 14.218")</f>
        <v>40.815, 14.218</v>
      </c>
      <c r="K134" s="25">
        <f>VLOOKUP($A134,'Manus All Chiaia'!$A$1:$K$70,10,0)</f>
        <v>40.815</v>
      </c>
      <c r="L134" s="25">
        <f>VLOOKUP($A134,'Manus All Chiaia'!$A$1:$K$70,11,0)</f>
        <v>14.218</v>
      </c>
      <c r="M134" s="29" t="str">
        <f t="shared" si="8"/>
        <v>https://www.google.com/maps/search/Riserva%20Rooftop%2C%20Naples</v>
      </c>
      <c r="N134" s="24" t="s">
        <v>1018</v>
      </c>
      <c r="O134" s="19" t="s">
        <v>1019</v>
      </c>
      <c r="P134" s="25" t="str">
        <f t="shared" si="1"/>
        <v>Naples</v>
      </c>
      <c r="Q134" s="25" t="str">
        <f t="shared" si="2"/>
        <v>Relais sul Mare Boutique Hotel, Naples, Italy</v>
      </c>
      <c r="R134" s="25" t="str">
        <f>VLOOKUP(A134,'Travel Times'!$A$1:$E$1000,4,0)</f>
        <v>1 hour 42 mins</v>
      </c>
      <c r="S134" s="25" t="str">
        <f>VLOOKUP(A134,'Travel Times'!$A$1:$E$1000,5,0)</f>
        <v>19 mins</v>
      </c>
    </row>
    <row r="135">
      <c r="A135" s="19" t="s">
        <v>554</v>
      </c>
      <c r="B135" s="19" t="s">
        <v>255</v>
      </c>
      <c r="C135" s="19" t="s">
        <v>1072</v>
      </c>
      <c r="D135" s="19" t="s">
        <v>543</v>
      </c>
      <c r="E135" s="19" t="s">
        <v>1079</v>
      </c>
      <c r="F135" s="19" t="s">
        <v>1080</v>
      </c>
      <c r="G135" s="19" t="s">
        <v>1058</v>
      </c>
      <c r="H135" s="19" t="s">
        <v>1075</v>
      </c>
      <c r="I135" s="19" t="str">
        <f>VLOOKUP(A135,'Manus All Chiaia'!$A$1:$I$70,9,0)&amp;", Italy"</f>
        <v>Via Cristoforo Colombo 45, 80133 Naples, Italy</v>
      </c>
      <c r="J135" s="19" t="str">
        <f>IFERROR(__xludf.DUMMYFUNCTION("JOIN("", "",K135,L135)"),"40.838, 14.268")</f>
        <v>40.838, 14.268</v>
      </c>
      <c r="K135" s="25">
        <f>VLOOKUP($A135,'Manus All Chiaia'!$A$1:$K$70,10,0)</f>
        <v>40.838</v>
      </c>
      <c r="L135" s="25">
        <f>VLOOKUP($A135,'Manus All Chiaia'!$A$1:$K$70,11,0)</f>
        <v>14.268</v>
      </c>
      <c r="M135" s="29" t="str">
        <f t="shared" si="8"/>
        <v>https://www.google.com/maps/search/Romeo%20Hotel%20Naples%2C%20Naples</v>
      </c>
      <c r="N135" s="24" t="s">
        <v>1018</v>
      </c>
      <c r="O135" s="19" t="s">
        <v>1019</v>
      </c>
      <c r="P135" s="25" t="str">
        <f t="shared" si="1"/>
        <v>Naples</v>
      </c>
      <c r="Q135" s="25" t="str">
        <f t="shared" si="2"/>
        <v>Relais sul Mare Boutique Hotel, Naples, Italy</v>
      </c>
      <c r="R135" s="25" t="str">
        <f>VLOOKUP(A135,'Travel Times'!$A$1:$E$1000,4,0)</f>
        <v>19 mins</v>
      </c>
      <c r="S135" s="25" t="str">
        <f>VLOOKUP(A135,'Travel Times'!$A$1:$E$1000,5,0)</f>
        <v>9 mins</v>
      </c>
    </row>
    <row r="136">
      <c r="A136" s="19" t="s">
        <v>1081</v>
      </c>
      <c r="B136" s="19" t="s">
        <v>255</v>
      </c>
      <c r="C136" s="19" t="s">
        <v>1082</v>
      </c>
      <c r="D136" s="19" t="s">
        <v>1083</v>
      </c>
      <c r="E136" s="19" t="s">
        <v>1084</v>
      </c>
      <c r="F136" s="19" t="s">
        <v>1085</v>
      </c>
      <c r="G136" s="19" t="s">
        <v>1058</v>
      </c>
      <c r="H136" s="19" t="s">
        <v>1086</v>
      </c>
      <c r="I136" s="19" t="str">
        <f>VLOOKUP(A136,'Manus All Chiaia'!$A$1:$I$70,9,0)&amp;", Italy"</f>
        <v>Via Vannella Gaetani 2, 80121 Naples, Italy</v>
      </c>
      <c r="J136" s="19" t="str">
        <f>IFERROR(__xludf.DUMMYFUNCTION("JOIN("", "",K136,L136)"),"40.8365, 14.2455")</f>
        <v>40.8365, 14.2455</v>
      </c>
      <c r="K136" s="25">
        <f>VLOOKUP($A136,'Manus All Chiaia'!$A$1:$K$70,10,0)</f>
        <v>40.8365</v>
      </c>
      <c r="L136" s="25">
        <f>VLOOKUP($A136,'Manus All Chiaia'!$A$1:$K$70,11,0)</f>
        <v>14.2455</v>
      </c>
      <c r="M136" s="29" t="str">
        <f t="shared" si="8"/>
        <v>https://www.google.com/maps/search/L%27Antiquario%2C%20Naples</v>
      </c>
      <c r="N136" s="24" t="s">
        <v>1018</v>
      </c>
      <c r="O136" s="19" t="s">
        <v>1019</v>
      </c>
      <c r="P136" s="25" t="str">
        <f t="shared" si="1"/>
        <v>Naples</v>
      </c>
      <c r="Q136" s="25" t="str">
        <f t="shared" si="2"/>
        <v>Relais sul Mare Boutique Hotel, Naples, Italy</v>
      </c>
      <c r="R136" s="25" t="str">
        <f>VLOOKUP(A136,'Travel Times'!$A$1:$E$1000,4,0)</f>
        <v>13 mins</v>
      </c>
      <c r="S136" s="25" t="str">
        <f>VLOOKUP(A136,'Travel Times'!$A$1:$E$1000,5,0)</f>
        <v>4 mins</v>
      </c>
    </row>
    <row r="137">
      <c r="A137" s="19" t="s">
        <v>1087</v>
      </c>
      <c r="B137" s="19" t="s">
        <v>255</v>
      </c>
      <c r="C137" s="19" t="s">
        <v>1088</v>
      </c>
      <c r="D137" s="19" t="s">
        <v>543</v>
      </c>
      <c r="E137" s="19" t="s">
        <v>1089</v>
      </c>
      <c r="F137" s="19" t="s">
        <v>1090</v>
      </c>
      <c r="G137" s="19" t="s">
        <v>1058</v>
      </c>
      <c r="H137" s="19" t="s">
        <v>1091</v>
      </c>
      <c r="I137" s="19" t="str">
        <f>VLOOKUP(A137,'Manus All Chiaia'!$A$1:$I$70,9,0)&amp;", Italy"</f>
        <v>Via Giuseppe Fiorelli 11, 80121 Naples, Italy</v>
      </c>
      <c r="J137" s="19" t="str">
        <f>IFERROR(__xludf.DUMMYFUNCTION("JOIN("", "",K137,L137)"),"40.8375, 14.2465")</f>
        <v>40.8375, 14.2465</v>
      </c>
      <c r="K137" s="25">
        <f>VLOOKUP($A137,'Manus All Chiaia'!$A$1:$K$70,10,0)</f>
        <v>40.8375</v>
      </c>
      <c r="L137" s="25">
        <f>VLOOKUP($A137,'Manus All Chiaia'!$A$1:$K$70,11,0)</f>
        <v>14.2465</v>
      </c>
      <c r="M137" s="29" t="str">
        <f t="shared" si="8"/>
        <v>https://www.google.com/maps/search/Barril%20Garden%20Bar%2C%20Naples</v>
      </c>
      <c r="N137" s="24" t="s">
        <v>1018</v>
      </c>
      <c r="O137" s="19" t="s">
        <v>1019</v>
      </c>
      <c r="P137" s="25" t="str">
        <f t="shared" si="1"/>
        <v>Naples</v>
      </c>
      <c r="Q137" s="25" t="str">
        <f t="shared" si="2"/>
        <v>Relais sul Mare Boutique Hotel, Naples, Italy</v>
      </c>
      <c r="R137" s="25" t="str">
        <f>VLOOKUP(A137,'Travel Times'!$A$1:$E$1000,4,0)</f>
        <v>10 hours 43 mins</v>
      </c>
      <c r="S137" s="25" t="str">
        <f>VLOOKUP(A137,'Travel Times'!$A$1:$E$1000,5,0)</f>
        <v>1 hour 6 mins</v>
      </c>
    </row>
    <row r="138">
      <c r="A138" s="19" t="s">
        <v>1092</v>
      </c>
      <c r="B138" s="19" t="s">
        <v>255</v>
      </c>
      <c r="C138" s="19" t="s">
        <v>1088</v>
      </c>
      <c r="D138" s="19" t="s">
        <v>543</v>
      </c>
      <c r="E138" s="19" t="s">
        <v>1093</v>
      </c>
      <c r="F138" s="19" t="s">
        <v>1094</v>
      </c>
      <c r="G138" s="19" t="s">
        <v>1058</v>
      </c>
      <c r="H138" s="19" t="s">
        <v>1091</v>
      </c>
      <c r="I138" s="19" t="str">
        <f>VLOOKUP(A138,'Manus All Chiaia'!$A$1:$I$70,9,0)&amp;", Italy"</f>
        <v>Via Bisignano 20, 80121 Naples, Italy</v>
      </c>
      <c r="J138" s="19" t="str">
        <f>IFERROR(__xludf.DUMMYFUNCTION("JOIN("", "",K138,L138)"),"40.837, 14.246")</f>
        <v>40.837, 14.246</v>
      </c>
      <c r="K138" s="25">
        <f>VLOOKUP($A138,'Manus All Chiaia'!$A$1:$K$70,10,0)</f>
        <v>40.837</v>
      </c>
      <c r="L138" s="25">
        <f>VLOOKUP($A138,'Manus All Chiaia'!$A$1:$K$70,11,0)</f>
        <v>14.246</v>
      </c>
      <c r="M138" s="29" t="str">
        <f t="shared" si="8"/>
        <v>https://www.google.com/maps/search/Ba-Bar%2C%20Naples</v>
      </c>
      <c r="N138" s="24" t="s">
        <v>1018</v>
      </c>
      <c r="O138" s="19" t="s">
        <v>1019</v>
      </c>
      <c r="P138" s="25" t="str">
        <f t="shared" si="1"/>
        <v>Naples</v>
      </c>
      <c r="Q138" s="25" t="str">
        <f t="shared" si="2"/>
        <v>Relais sul Mare Boutique Hotel, Naples, Italy</v>
      </c>
      <c r="R138" s="25" t="str">
        <f>VLOOKUP(A138,'Travel Times'!$A$1:$E$1000,4,0)</f>
        <v>17 mins</v>
      </c>
      <c r="S138" s="25" t="str">
        <f>VLOOKUP(A138,'Travel Times'!$A$1:$E$1000,5,0)</f>
        <v>10 mins</v>
      </c>
    </row>
    <row r="139">
      <c r="A139" s="19" t="s">
        <v>1095</v>
      </c>
      <c r="B139" s="19" t="s">
        <v>255</v>
      </c>
      <c r="C139" s="19" t="s">
        <v>1088</v>
      </c>
      <c r="D139" s="19" t="s">
        <v>1096</v>
      </c>
      <c r="E139" s="19" t="s">
        <v>1097</v>
      </c>
      <c r="F139" s="19" t="s">
        <v>1098</v>
      </c>
      <c r="G139" s="19" t="s">
        <v>1058</v>
      </c>
      <c r="H139" s="19" t="s">
        <v>1062</v>
      </c>
      <c r="I139" s="19" t="str">
        <f>VLOOKUP(A139,'Manus All Chiaia'!$A$1:$I$70,9,0)&amp;", Italy"</f>
        <v>Via Giuseppe Martucci 30, 80121 Naples, Italy</v>
      </c>
      <c r="J139" s="19" t="str">
        <f>IFERROR(__xludf.DUMMYFUNCTION("JOIN("", "",K139,L139)"),"40.8385, 14.2475")</f>
        <v>40.8385, 14.2475</v>
      </c>
      <c r="K139" s="25">
        <f>VLOOKUP($A139,'Manus All Chiaia'!$A$1:$K$70,10,0)</f>
        <v>40.8385</v>
      </c>
      <c r="L139" s="25">
        <f>VLOOKUP($A139,'Manus All Chiaia'!$A$1:$K$70,11,0)</f>
        <v>14.2475</v>
      </c>
      <c r="M139" s="29" t="str">
        <f t="shared" si="8"/>
        <v>https://www.google.com/maps/search/Swig%20Chiaia%2C%20Naples</v>
      </c>
      <c r="N139" s="24" t="s">
        <v>1018</v>
      </c>
      <c r="O139" s="19" t="s">
        <v>1019</v>
      </c>
      <c r="P139" s="25" t="str">
        <f t="shared" si="1"/>
        <v>Naples</v>
      </c>
      <c r="Q139" s="25" t="str">
        <f t="shared" si="2"/>
        <v>Relais sul Mare Boutique Hotel, Naples, Italy</v>
      </c>
      <c r="R139" s="25" t="str">
        <f>VLOOKUP(A139,'Travel Times'!$A$1:$E$1000,4,0)</f>
        <v>29 mins</v>
      </c>
      <c r="S139" s="25" t="str">
        <f>VLOOKUP(A139,'Travel Times'!$A$1:$E$1000,5,0)</f>
        <v>9 mins</v>
      </c>
    </row>
    <row r="140">
      <c r="A140" s="19" t="s">
        <v>1099</v>
      </c>
      <c r="B140" s="19" t="s">
        <v>255</v>
      </c>
      <c r="C140" s="19" t="s">
        <v>1088</v>
      </c>
      <c r="D140" s="19" t="s">
        <v>247</v>
      </c>
      <c r="E140" s="19" t="s">
        <v>1100</v>
      </c>
      <c r="F140" s="19" t="s">
        <v>1101</v>
      </c>
      <c r="G140" s="19" t="s">
        <v>1058</v>
      </c>
      <c r="H140" s="19" t="s">
        <v>1102</v>
      </c>
      <c r="I140" s="19" t="str">
        <f>VLOOKUP(A140,'Manus All Chiaia'!$A$1:$I$70,9,0)&amp;", Italy"</f>
        <v>Via Chiaia area, Naples, Italy</v>
      </c>
      <c r="J140" s="19" t="str">
        <f>IFERROR(__xludf.DUMMYFUNCTION("JOIN("", "",K140,L140)"),"40.838, 14.247")</f>
        <v>40.838, 14.247</v>
      </c>
      <c r="K140" s="25">
        <f>VLOOKUP($A140,'Manus All Chiaia'!$A$1:$K$70,10,0)</f>
        <v>40.838</v>
      </c>
      <c r="L140" s="25">
        <f>VLOOKUP($A140,'Manus All Chiaia'!$A$1:$K$70,11,0)</f>
        <v>14.247</v>
      </c>
      <c r="M140" s="29" t="str">
        <f t="shared" si="8"/>
        <v>https://www.google.com/maps/search/Twins%20-%20Cocktail%20Wine%20Coffee%2C%20Naples</v>
      </c>
      <c r="N140" s="24" t="s">
        <v>1018</v>
      </c>
      <c r="O140" s="19" t="s">
        <v>1019</v>
      </c>
      <c r="P140" s="25" t="str">
        <f t="shared" si="1"/>
        <v>Naples</v>
      </c>
      <c r="Q140" s="25" t="str">
        <f t="shared" si="2"/>
        <v>Relais sul Mare Boutique Hotel, Naples, Italy</v>
      </c>
      <c r="R140" s="25" t="str">
        <f>VLOOKUP(A140,'Travel Times'!$A$1:$E$1000,4,0)</f>
        <v>40 mins</v>
      </c>
      <c r="S140" s="25" t="str">
        <f>VLOOKUP(A140,'Travel Times'!$A$1:$E$1000,5,0)</f>
        <v>10 mins</v>
      </c>
    </row>
    <row r="141">
      <c r="A141" s="19" t="s">
        <v>1103</v>
      </c>
      <c r="B141" s="19" t="s">
        <v>255</v>
      </c>
      <c r="C141" s="19" t="s">
        <v>1104</v>
      </c>
      <c r="D141" s="19" t="s">
        <v>270</v>
      </c>
      <c r="E141" s="19" t="s">
        <v>1105</v>
      </c>
      <c r="F141" s="19" t="s">
        <v>1106</v>
      </c>
      <c r="G141" s="19" t="s">
        <v>1058</v>
      </c>
      <c r="H141" s="19" t="s">
        <v>1091</v>
      </c>
      <c r="I141" s="19" t="str">
        <f>VLOOKUP(A141,'Manus All Chiaia'!$A$1:$I$70,9,0)&amp;", Italy"</f>
        <v>Vico Belledonne a Chiaia 18, 80121 Naples, Italy</v>
      </c>
      <c r="J141" s="19" t="str">
        <f>IFERROR(__xludf.DUMMYFUNCTION("JOIN("", "",K141,L141)"),"40.8372, 14.2462")</f>
        <v>40.8372, 14.2462</v>
      </c>
      <c r="K141" s="25">
        <f>VLOOKUP($A141,'Manus All Chiaia'!$A$1:$K$70,10,0)</f>
        <v>40.8372</v>
      </c>
      <c r="L141" s="25">
        <f>VLOOKUP($A141,'Manus All Chiaia'!$A$1:$K$70,11,0)</f>
        <v>14.2462</v>
      </c>
      <c r="M141" s="29" t="str">
        <f t="shared" si="8"/>
        <v>https://www.google.com/maps/search/Enoteca%20Belledonne%2C%20Naples</v>
      </c>
      <c r="N141" s="24" t="s">
        <v>1018</v>
      </c>
      <c r="O141" s="19" t="s">
        <v>1019</v>
      </c>
      <c r="P141" s="25" t="str">
        <f t="shared" si="1"/>
        <v>Naples</v>
      </c>
      <c r="Q141" s="25" t="str">
        <f t="shared" si="2"/>
        <v>Relais sul Mare Boutique Hotel, Naples, Italy</v>
      </c>
      <c r="R141" s="25" t="str">
        <f>VLOOKUP(A141,'Travel Times'!$A$1:$E$1000,4,0)</f>
        <v>18 mins</v>
      </c>
      <c r="S141" s="25" t="str">
        <f>VLOOKUP(A141,'Travel Times'!$A$1:$E$1000,5,0)</f>
        <v>11 mins</v>
      </c>
    </row>
    <row r="142">
      <c r="A142" s="19" t="s">
        <v>1107</v>
      </c>
      <c r="B142" s="19" t="s">
        <v>255</v>
      </c>
      <c r="C142" s="19" t="s">
        <v>1088</v>
      </c>
      <c r="D142" s="19" t="s">
        <v>1096</v>
      </c>
      <c r="E142" s="19" t="s">
        <v>1108</v>
      </c>
      <c r="F142" s="19" t="s">
        <v>1109</v>
      </c>
      <c r="G142" s="19" t="s">
        <v>1110</v>
      </c>
      <c r="H142" s="19" t="s">
        <v>1066</v>
      </c>
      <c r="I142" s="19" t="str">
        <f>VLOOKUP(A142,'Manus All Chiaia'!$A$1:$I$70,9,0)&amp;", Italy"</f>
        <v>Vico Belledonne a Chiaia 34-35, 80121 Naples, Italy</v>
      </c>
      <c r="J142" s="19" t="str">
        <f>IFERROR(__xludf.DUMMYFUNCTION("JOIN("", "",K142,L142)"),"40.8372, 14.2462")</f>
        <v>40.8372, 14.2462</v>
      </c>
      <c r="K142" s="25">
        <f>VLOOKUP($A142,'Manus All Chiaia'!$A$1:$K$70,10,0)</f>
        <v>40.8372</v>
      </c>
      <c r="L142" s="25">
        <f>VLOOKUP($A142,'Manus All Chiaia'!$A$1:$K$70,11,0)</f>
        <v>14.2462</v>
      </c>
      <c r="M142" s="29" t="str">
        <f t="shared" si="8"/>
        <v>https://www.google.com/maps/search/Chandelier%2C%20Naples</v>
      </c>
      <c r="N142" s="24" t="s">
        <v>1018</v>
      </c>
      <c r="O142" s="19" t="s">
        <v>1019</v>
      </c>
      <c r="P142" s="25" t="str">
        <f t="shared" si="1"/>
        <v>Naples</v>
      </c>
      <c r="Q142" s="25" t="str">
        <f t="shared" si="2"/>
        <v>Relais sul Mare Boutique Hotel, Naples, Italy</v>
      </c>
      <c r="R142" s="25" t="str">
        <f>VLOOKUP(A142,'Travel Times'!$A$1:$E$1000,4,0)</f>
        <v>17 mins</v>
      </c>
      <c r="S142" s="25" t="str">
        <f>VLOOKUP(A142,'Travel Times'!$A$1:$E$1000,5,0)</f>
        <v>9 mins</v>
      </c>
    </row>
    <row r="143">
      <c r="A143" s="19" t="s">
        <v>1111</v>
      </c>
      <c r="B143" s="19" t="s">
        <v>255</v>
      </c>
      <c r="C143" s="19" t="s">
        <v>542</v>
      </c>
      <c r="D143" s="19" t="s">
        <v>1112</v>
      </c>
      <c r="E143" s="19" t="s">
        <v>1113</v>
      </c>
      <c r="F143" s="19" t="s">
        <v>1114</v>
      </c>
      <c r="G143" s="19" t="s">
        <v>1058</v>
      </c>
      <c r="H143" s="19" t="s">
        <v>1066</v>
      </c>
      <c r="I143" s="19" t="str">
        <f>VLOOKUP(A143,'Manus All Chiaia'!$A$1:$I$70,9,0)&amp;", Italy"</f>
        <v>Via Alabardieri 10, 80121 Naples, Italy</v>
      </c>
      <c r="J143" s="19" t="str">
        <f>IFERROR(__xludf.DUMMYFUNCTION("JOIN("", "",K143,L143)"),"40.837, 14.2468")</f>
        <v>40.837, 14.2468</v>
      </c>
      <c r="K143" s="25">
        <f>VLOOKUP($A143,'Manus All Chiaia'!$A$1:$K$70,10,0)</f>
        <v>40.837</v>
      </c>
      <c r="L143" s="25">
        <f>VLOOKUP($A143,'Manus All Chiaia'!$A$1:$K$70,11,0)</f>
        <v>14.2468</v>
      </c>
      <c r="M143" s="29" t="str">
        <f t="shared" si="8"/>
        <v>https://www.google.com/maps/search/Bluestone%2C%20Naples</v>
      </c>
      <c r="N143" s="24" t="s">
        <v>1018</v>
      </c>
      <c r="O143" s="19" t="s">
        <v>1019</v>
      </c>
      <c r="P143" s="25" t="str">
        <f t="shared" si="1"/>
        <v>Naples</v>
      </c>
      <c r="Q143" s="25" t="str">
        <f t="shared" si="2"/>
        <v>Relais sul Mare Boutique Hotel, Naples, Italy</v>
      </c>
      <c r="R143" s="25" t="str">
        <f>VLOOKUP(A143,'Travel Times'!$A$1:$E$1000,4,0)</f>
        <v>#ERROR!</v>
      </c>
      <c r="S143" s="25" t="str">
        <f>VLOOKUP(A143,'Travel Times'!$A$1:$E$1000,5,0)</f>
        <v>#ERROR!</v>
      </c>
    </row>
    <row r="144">
      <c r="A144" s="19" t="s">
        <v>1115</v>
      </c>
      <c r="B144" s="19" t="s">
        <v>255</v>
      </c>
      <c r="C144" s="19" t="s">
        <v>1104</v>
      </c>
      <c r="D144" s="19" t="s">
        <v>270</v>
      </c>
      <c r="E144" s="19" t="s">
        <v>1116</v>
      </c>
      <c r="F144" s="19" t="s">
        <v>1117</v>
      </c>
      <c r="G144" s="19" t="s">
        <v>1058</v>
      </c>
      <c r="H144" s="19" t="s">
        <v>1062</v>
      </c>
      <c r="I144" s="19" t="str">
        <f>VLOOKUP(A144,'Manus All Chiaia'!$A$1:$I$70,9,0)&amp;", Italy"</f>
        <v>Via Chiaia area, Naples, Italy</v>
      </c>
      <c r="J144" s="19" t="str">
        <f>IFERROR(__xludf.DUMMYFUNCTION("JOIN("", "",K144,L144)"),"40.838, 14.247")</f>
        <v>40.838, 14.247</v>
      </c>
      <c r="K144" s="25">
        <f>VLOOKUP($A144,'Manus All Chiaia'!$A$1:$K$70,10,0)</f>
        <v>40.838</v>
      </c>
      <c r="L144" s="25">
        <f>VLOOKUP($A144,'Manus All Chiaia'!$A$1:$K$70,11,0)</f>
        <v>14.247</v>
      </c>
      <c r="M144" s="29" t="str">
        <f t="shared" si="8"/>
        <v>https://www.google.com/maps/search/Cap%27Alice%2C%20Naples</v>
      </c>
      <c r="N144" s="24" t="s">
        <v>1018</v>
      </c>
      <c r="O144" s="19" t="s">
        <v>1019</v>
      </c>
      <c r="P144" s="25" t="str">
        <f t="shared" si="1"/>
        <v>Naples</v>
      </c>
      <c r="Q144" s="25" t="str">
        <f t="shared" si="2"/>
        <v>Relais sul Mare Boutique Hotel, Naples, Italy</v>
      </c>
      <c r="R144" s="25" t="str">
        <f>VLOOKUP(A144,'Travel Times'!$A$1:$E$1000,4,0)</f>
        <v>27 mins</v>
      </c>
      <c r="S144" s="25" t="str">
        <f>VLOOKUP(A144,'Travel Times'!$A$1:$E$1000,5,0)</f>
        <v>7 mins</v>
      </c>
    </row>
    <row r="145">
      <c r="A145" s="19" t="s">
        <v>1118</v>
      </c>
      <c r="B145" s="19" t="s">
        <v>255</v>
      </c>
      <c r="C145" s="19" t="s">
        <v>1119</v>
      </c>
      <c r="D145" s="19" t="s">
        <v>222</v>
      </c>
      <c r="E145" s="19" t="s">
        <v>1120</v>
      </c>
      <c r="F145" s="19" t="s">
        <v>1121</v>
      </c>
      <c r="G145" s="19" t="s">
        <v>1122</v>
      </c>
      <c r="H145" s="19" t="s">
        <v>1123</v>
      </c>
      <c r="I145" s="19" t="str">
        <f>VLOOKUP(A145,'Manus All Chiaia'!$A$1:$I$70,9,0)&amp;", Italy"</f>
        <v>Via Giosuè Carducci 43, 80121 Naples, Italy</v>
      </c>
      <c r="J145" s="19" t="str">
        <f>IFERROR(__xludf.DUMMYFUNCTION("JOIN("", "",K145,L145)"),"40.836, 14.245")</f>
        <v>40.836, 14.245</v>
      </c>
      <c r="K145" s="25">
        <f>VLOOKUP($A145,'Manus All Chiaia'!$A$1:$K$70,10,0)</f>
        <v>40.836</v>
      </c>
      <c r="L145" s="25">
        <f>VLOOKUP($A145,'Manus All Chiaia'!$A$1:$K$70,11,0)</f>
        <v>14.245</v>
      </c>
      <c r="M145" s="29" t="str">
        <f t="shared" si="8"/>
        <v>https://www.google.com/maps/search/Mennella%20Il%20Gelato%2C%20Naples</v>
      </c>
      <c r="N145" s="24" t="s">
        <v>1018</v>
      </c>
      <c r="O145" s="19" t="s">
        <v>1019</v>
      </c>
      <c r="P145" s="25" t="str">
        <f t="shared" si="1"/>
        <v>Naples</v>
      </c>
      <c r="Q145" s="25" t="str">
        <f t="shared" si="2"/>
        <v>Relais sul Mare Boutique Hotel, Naples, Italy</v>
      </c>
      <c r="R145" s="25" t="str">
        <f>VLOOKUP(A145,'Travel Times'!$A$1:$E$1000,4,0)</f>
        <v>#ERROR!</v>
      </c>
      <c r="S145" s="25" t="str">
        <f>VLOOKUP(A145,'Travel Times'!$A$1:$E$1000,5,0)</f>
        <v>#ERROR!</v>
      </c>
    </row>
    <row r="146">
      <c r="A146" s="19" t="s">
        <v>1124</v>
      </c>
      <c r="B146" s="19" t="s">
        <v>255</v>
      </c>
      <c r="C146" s="19" t="s">
        <v>1119</v>
      </c>
      <c r="D146" s="19" t="s">
        <v>222</v>
      </c>
      <c r="E146" s="19" t="s">
        <v>1125</v>
      </c>
      <c r="F146" s="19" t="s">
        <v>1126</v>
      </c>
      <c r="G146" s="19" t="s">
        <v>1058</v>
      </c>
      <c r="H146" s="19" t="s">
        <v>1123</v>
      </c>
      <c r="I146" s="19" t="str">
        <f>VLOOKUP(A146,'Manus All Chiaia'!$A$1:$I$70,9,0)&amp;", Italy"</f>
        <v>Via Benedetto Croce 61, 80134 Naples, Italy</v>
      </c>
      <c r="J146" s="19" t="str">
        <f>IFERROR(__xludf.DUMMYFUNCTION("JOIN("", "",K146,L146)"),"40.8485, 14.2565")</f>
        <v>40.8485, 14.2565</v>
      </c>
      <c r="K146" s="25">
        <f>VLOOKUP($A146,'Manus All Chiaia'!$A$1:$K$70,10,0)</f>
        <v>40.8485</v>
      </c>
      <c r="L146" s="25">
        <f>VLOOKUP($A146,'Manus All Chiaia'!$A$1:$K$70,11,0)</f>
        <v>14.2565</v>
      </c>
      <c r="M146" s="29" t="str">
        <f t="shared" si="8"/>
        <v>https://www.google.com/maps/search/Gay-Odin%2C%20Naples</v>
      </c>
      <c r="N146" s="24" t="s">
        <v>1018</v>
      </c>
      <c r="O146" s="19" t="s">
        <v>1019</v>
      </c>
      <c r="P146" s="25" t="str">
        <f t="shared" si="1"/>
        <v>Naples</v>
      </c>
      <c r="Q146" s="25" t="str">
        <f t="shared" si="2"/>
        <v>Relais sul Mare Boutique Hotel, Naples, Italy</v>
      </c>
      <c r="R146" s="25" t="str">
        <f>VLOOKUP(A146,'Travel Times'!$A$1:$E$1000,4,0)</f>
        <v>#ERROR!</v>
      </c>
      <c r="S146" s="25" t="str">
        <f>VLOOKUP(A146,'Travel Times'!$A$1:$E$1000,5,0)</f>
        <v>#ERROR!</v>
      </c>
    </row>
    <row r="147">
      <c r="A147" s="19" t="s">
        <v>1127</v>
      </c>
      <c r="B147" s="19" t="s">
        <v>255</v>
      </c>
      <c r="C147" s="19" t="s">
        <v>1119</v>
      </c>
      <c r="D147" s="19" t="s">
        <v>222</v>
      </c>
      <c r="E147" s="19" t="s">
        <v>1128</v>
      </c>
      <c r="F147" s="19" t="s">
        <v>1129</v>
      </c>
      <c r="G147" s="19" t="s">
        <v>1058</v>
      </c>
      <c r="H147" s="19" t="s">
        <v>1123</v>
      </c>
      <c r="I147" s="19" t="str">
        <f>VLOOKUP(A147,'Manus All Chiaia'!$A$1:$I$70,9,0)&amp;", Italy"</f>
        <v>Multiple locations in Naples, Italy</v>
      </c>
      <c r="J147" s="19" t="str">
        <f>IFERROR(__xludf.DUMMYFUNCTION("JOIN("", "",K147,L147)"),"40.852, 14.268")</f>
        <v>40.852, 14.268</v>
      </c>
      <c r="K147" s="25">
        <f>VLOOKUP($A147,'Manus All Chiaia'!$A$1:$K$70,10,0)</f>
        <v>40.852</v>
      </c>
      <c r="L147" s="25">
        <f>VLOOKUP($A147,'Manus All Chiaia'!$A$1:$K$70,11,0)</f>
        <v>14.268</v>
      </c>
      <c r="M147" s="29" t="str">
        <f t="shared" si="8"/>
        <v>https://www.google.com/maps/search/Casa%20Infante%2C%20Naples</v>
      </c>
      <c r="N147" s="24" t="s">
        <v>1018</v>
      </c>
      <c r="O147" s="19" t="s">
        <v>1019</v>
      </c>
      <c r="P147" s="25" t="str">
        <f t="shared" si="1"/>
        <v>Naples</v>
      </c>
      <c r="Q147" s="25" t="str">
        <f t="shared" si="2"/>
        <v>Relais sul Mare Boutique Hotel, Naples, Italy</v>
      </c>
      <c r="R147" s="25" t="str">
        <f>VLOOKUP(A147,'Travel Times'!$A$1:$E$1000,4,0)</f>
        <v>#ERROR!</v>
      </c>
      <c r="S147" s="25" t="str">
        <f>VLOOKUP(A147,'Travel Times'!$A$1:$E$1000,5,0)</f>
        <v>#ERROR!</v>
      </c>
    </row>
    <row r="148">
      <c r="A148" s="19" t="s">
        <v>1130</v>
      </c>
      <c r="B148" s="19" t="s">
        <v>255</v>
      </c>
      <c r="C148" s="19" t="s">
        <v>1119</v>
      </c>
      <c r="D148" s="19" t="s">
        <v>222</v>
      </c>
      <c r="E148" s="19" t="s">
        <v>1131</v>
      </c>
      <c r="F148" s="19" t="s">
        <v>1132</v>
      </c>
      <c r="G148" s="19" t="s">
        <v>1058</v>
      </c>
      <c r="H148" s="19" t="s">
        <v>1123</v>
      </c>
      <c r="I148" s="19" t="str">
        <f>VLOOKUP(A148,'Manus All Chiaia'!$A$1:$I$70,9,0)&amp;", Italy"</f>
        <v>Via Chiaia area, Naples, Italy</v>
      </c>
      <c r="J148" s="19" t="str">
        <f>IFERROR(__xludf.DUMMYFUNCTION("JOIN("", "",K148,L148)"),"40.838, 14.247")</f>
        <v>40.838, 14.247</v>
      </c>
      <c r="K148" s="25">
        <f>VLOOKUP($A148,'Manus All Chiaia'!$A$1:$K$70,10,0)</f>
        <v>40.838</v>
      </c>
      <c r="L148" s="25">
        <f>VLOOKUP($A148,'Manus All Chiaia'!$A$1:$K$70,11,0)</f>
        <v>14.247</v>
      </c>
      <c r="M148" s="29" t="str">
        <f t="shared" si="8"/>
        <v>https://www.google.com/maps/search/Il%20Gelatiere%2C%20Naples</v>
      </c>
      <c r="N148" s="24" t="s">
        <v>1018</v>
      </c>
      <c r="O148" s="19" t="s">
        <v>1019</v>
      </c>
      <c r="P148" s="25" t="str">
        <f t="shared" si="1"/>
        <v>Naples</v>
      </c>
      <c r="Q148" s="25" t="str">
        <f t="shared" si="2"/>
        <v>Relais sul Mare Boutique Hotel, Naples, Italy</v>
      </c>
      <c r="R148" s="25" t="str">
        <f>VLOOKUP(A148,'Travel Times'!$A$1:$E$1000,4,0)</f>
        <v>22 mins</v>
      </c>
      <c r="S148" s="25" t="str">
        <f>VLOOKUP(A148,'Travel Times'!$A$1:$E$1000,5,0)</f>
        <v>8 mins</v>
      </c>
    </row>
    <row r="149">
      <c r="A149" s="19" t="s">
        <v>1133</v>
      </c>
      <c r="B149" s="19" t="s">
        <v>255</v>
      </c>
      <c r="C149" s="19" t="s">
        <v>1134</v>
      </c>
      <c r="D149" s="19" t="s">
        <v>1135</v>
      </c>
      <c r="E149" s="19" t="s">
        <v>1136</v>
      </c>
      <c r="F149" s="19" t="s">
        <v>1137</v>
      </c>
      <c r="G149" s="19" t="s">
        <v>1138</v>
      </c>
      <c r="H149" s="19" t="s">
        <v>1139</v>
      </c>
      <c r="I149" s="19" t="str">
        <f>VLOOKUP(A149,'Manus All Chiaia'!$A$1:$I$70,9,0)&amp;", Italy"</f>
        <v>Via Caracciolo, 80121 Naples, Italy</v>
      </c>
      <c r="J149" s="19" t="str">
        <f>IFERROR(__xludf.DUMMYFUNCTION("JOIN("", "",K149,L149)"),"40.832, 14.248")</f>
        <v>40.832, 14.248</v>
      </c>
      <c r="K149" s="25">
        <f>VLOOKUP($A149,'Manus All Chiaia'!$A$1:$K$70,10,0)</f>
        <v>40.832</v>
      </c>
      <c r="L149" s="25">
        <f>VLOOKUP($A149,'Manus All Chiaia'!$A$1:$K$70,11,0)</f>
        <v>14.248</v>
      </c>
      <c r="M149" s="29" t="str">
        <f t="shared" si="8"/>
        <v>https://www.google.com/maps/search/Villa%20Comunale%2C%20Naples</v>
      </c>
      <c r="N149" s="24" t="s">
        <v>1018</v>
      </c>
      <c r="O149" s="19" t="s">
        <v>1019</v>
      </c>
      <c r="P149" s="25" t="str">
        <f t="shared" si="1"/>
        <v>Naples</v>
      </c>
      <c r="Q149" s="25" t="str">
        <f t="shared" si="2"/>
        <v>Relais sul Mare Boutique Hotel, Naples, Italy</v>
      </c>
      <c r="R149" s="25" t="str">
        <f>VLOOKUP(A149,'Travel Times'!$A$1:$E$1000,4,0)</f>
        <v>21 mins</v>
      </c>
      <c r="S149" s="25" t="str">
        <f>VLOOKUP(A149,'Travel Times'!$A$1:$E$1000,5,0)</f>
        <v>6 mins</v>
      </c>
    </row>
    <row r="150">
      <c r="A150" s="19" t="s">
        <v>1140</v>
      </c>
      <c r="B150" s="19" t="s">
        <v>255</v>
      </c>
      <c r="C150" s="19" t="s">
        <v>1141</v>
      </c>
      <c r="D150" s="19" t="s">
        <v>1142</v>
      </c>
      <c r="E150" s="19" t="s">
        <v>1143</v>
      </c>
      <c r="F150" s="19" t="s">
        <v>1144</v>
      </c>
      <c r="G150" s="19" t="s">
        <v>1058</v>
      </c>
      <c r="H150" s="19" t="s">
        <v>1145</v>
      </c>
      <c r="I150" s="19" t="str">
        <f>VLOOKUP(A150,'Manus All Chiaia'!$A$1:$I$70,9,0)&amp;", Italy"</f>
        <v>Villa Comunale, Via Caracciolo, 80121 Naples, Italy</v>
      </c>
      <c r="J150" s="19" t="str">
        <f>IFERROR(__xludf.DUMMYFUNCTION("JOIN("", "",K150,L150)"),"40.832, 14.248")</f>
        <v>40.832, 14.248</v>
      </c>
      <c r="K150" s="25">
        <f>VLOOKUP($A150,'Manus All Chiaia'!$A$1:$K$70,10,0)</f>
        <v>40.832</v>
      </c>
      <c r="L150" s="25">
        <f>VLOOKUP($A150,'Manus All Chiaia'!$A$1:$K$70,11,0)</f>
        <v>14.248</v>
      </c>
      <c r="M150" s="29" t="str">
        <f t="shared" si="8"/>
        <v>https://www.google.com/maps/search/Anton%20Dohrn%20Aquarium%2C%20Naples</v>
      </c>
      <c r="N150" s="24" t="s">
        <v>1018</v>
      </c>
      <c r="O150" s="19" t="s">
        <v>1019</v>
      </c>
      <c r="P150" s="25" t="str">
        <f t="shared" si="1"/>
        <v>Naples</v>
      </c>
      <c r="Q150" s="25" t="str">
        <f t="shared" si="2"/>
        <v>Relais sul Mare Boutique Hotel, Naples, Italy</v>
      </c>
      <c r="R150" s="25" t="str">
        <f>VLOOKUP(A150,'Travel Times'!$A$1:$E$1000,4,0)</f>
        <v>19 mins</v>
      </c>
      <c r="S150" s="25" t="str">
        <f>VLOOKUP(A150,'Travel Times'!$A$1:$E$1000,5,0)</f>
        <v>10 mins</v>
      </c>
    </row>
    <row r="151">
      <c r="A151" s="19" t="s">
        <v>1146</v>
      </c>
      <c r="B151" s="19" t="s">
        <v>255</v>
      </c>
      <c r="C151" s="19" t="s">
        <v>632</v>
      </c>
      <c r="D151" s="19" t="s">
        <v>470</v>
      </c>
      <c r="E151" s="19" t="s">
        <v>1147</v>
      </c>
      <c r="F151" s="19"/>
      <c r="G151" s="19" t="s">
        <v>1058</v>
      </c>
      <c r="H151" s="19" t="s">
        <v>1148</v>
      </c>
      <c r="I151" s="19" t="str">
        <f>VLOOKUP(A151,'Manus All Chiaia'!$A$1:$I$70,9,0)&amp;", Italy"</f>
        <v>Riviera di Chiaia 200, 80121 Naples, Italy</v>
      </c>
      <c r="J151" s="19" t="str">
        <f>IFERROR(__xludf.DUMMYFUNCTION("JOIN("", "",K151,L151)"),"40.831, 14.247")</f>
        <v>40.831, 14.247</v>
      </c>
      <c r="K151" s="25">
        <f>VLOOKUP($A151,'Manus All Chiaia'!$A$1:$K$70,10,0)</f>
        <v>40.831</v>
      </c>
      <c r="L151" s="25">
        <f>VLOOKUP($A151,'Manus All Chiaia'!$A$1:$K$70,11,0)</f>
        <v>14.247</v>
      </c>
      <c r="M151" s="29" t="str">
        <f t="shared" si="8"/>
        <v>https://www.google.com/maps/search/Villa%20Pignatelli%2C%20Naples</v>
      </c>
      <c r="N151" s="24" t="s">
        <v>1018</v>
      </c>
      <c r="O151" s="19" t="s">
        <v>1019</v>
      </c>
      <c r="P151" s="25" t="str">
        <f t="shared" si="1"/>
        <v>Naples</v>
      </c>
      <c r="Q151" s="25" t="str">
        <f t="shared" si="2"/>
        <v>Relais sul Mare Boutique Hotel, Naples, Italy</v>
      </c>
      <c r="R151" s="25" t="str">
        <f>VLOOKUP(A151,'Travel Times'!$A$1:$E$1000,4,0)</f>
        <v>25 mins</v>
      </c>
      <c r="S151" s="25" t="str">
        <f>VLOOKUP(A151,'Travel Times'!$A$1:$E$1000,5,0)</f>
        <v>9 mins</v>
      </c>
    </row>
    <row r="152">
      <c r="A152" s="19" t="s">
        <v>1149</v>
      </c>
      <c r="B152" s="19" t="s">
        <v>255</v>
      </c>
      <c r="C152" s="19" t="s">
        <v>632</v>
      </c>
      <c r="D152" s="19" t="s">
        <v>579</v>
      </c>
      <c r="E152" s="19" t="s">
        <v>1150</v>
      </c>
      <c r="F152" s="19" t="s">
        <v>1151</v>
      </c>
      <c r="G152" s="19" t="s">
        <v>1152</v>
      </c>
      <c r="H152" s="19" t="s">
        <v>1153</v>
      </c>
      <c r="I152" s="19" t="str">
        <f>VLOOKUP(A152,'Manus All Chiaia'!$A$1:$I$70,9,0)&amp;", Italy"</f>
        <v>Riviera di Chiaia 200, 80121 Naples, Italy</v>
      </c>
      <c r="J152" s="19" t="str">
        <f>IFERROR(__xludf.DUMMYFUNCTION("JOIN("", "",K152,L152)"),"40.831, 14.247")</f>
        <v>40.831, 14.247</v>
      </c>
      <c r="K152" s="25">
        <f>VLOOKUP($A152,'Manus All Chiaia'!$A$1:$K$70,10,0)</f>
        <v>40.831</v>
      </c>
      <c r="L152" s="25">
        <f>VLOOKUP($A152,'Manus All Chiaia'!$A$1:$K$70,11,0)</f>
        <v>14.247</v>
      </c>
      <c r="M152" s="29" t="str">
        <f t="shared" si="8"/>
        <v>https://www.google.com/maps/search/Museum%20D%27Aragona%20Pignatelli%20Cortes%2C%20Naples</v>
      </c>
      <c r="N152" s="24" t="s">
        <v>1018</v>
      </c>
      <c r="O152" s="19" t="s">
        <v>1019</v>
      </c>
      <c r="P152" s="25" t="str">
        <f t="shared" si="1"/>
        <v>Naples</v>
      </c>
      <c r="Q152" s="25" t="str">
        <f t="shared" si="2"/>
        <v>Relais sul Mare Boutique Hotel, Naples, Italy</v>
      </c>
      <c r="R152" s="25" t="str">
        <f>VLOOKUP(A152,'Travel Times'!$A$1:$E$1000,4,0)</f>
        <v>25 mins</v>
      </c>
      <c r="S152" s="25" t="str">
        <f>VLOOKUP(A152,'Travel Times'!$A$1:$E$1000,5,0)</f>
        <v>9 mins</v>
      </c>
    </row>
    <row r="153">
      <c r="A153" s="19" t="s">
        <v>1154</v>
      </c>
      <c r="B153" s="19" t="s">
        <v>255</v>
      </c>
      <c r="C153" s="19" t="s">
        <v>632</v>
      </c>
      <c r="D153" s="19" t="s">
        <v>579</v>
      </c>
      <c r="E153" s="19" t="s">
        <v>1155</v>
      </c>
      <c r="F153" s="19" t="s">
        <v>1156</v>
      </c>
      <c r="G153" s="19" t="s">
        <v>1058</v>
      </c>
      <c r="H153" s="19" t="s">
        <v>1157</v>
      </c>
      <c r="I153" s="19" t="str">
        <f>VLOOKUP(A153,'Manus All Chiaia'!$A$1:$I$70,9,0)&amp;", Italy"</f>
        <v>Riviera di Chiaia 200, Villa Pignatelli, 80121 Naples, Italy</v>
      </c>
      <c r="J153" s="19" t="str">
        <f>IFERROR(__xludf.DUMMYFUNCTION("JOIN("", "",K153,L153)"),"40.831, 14.247")</f>
        <v>40.831, 14.247</v>
      </c>
      <c r="K153" s="25">
        <f>VLOOKUP($A153,'Manus All Chiaia'!$A$1:$K$70,10,0)</f>
        <v>40.831</v>
      </c>
      <c r="L153" s="25">
        <f>VLOOKUP($A153,'Manus All Chiaia'!$A$1:$K$70,11,0)</f>
        <v>14.247</v>
      </c>
      <c r="M153" s="29" t="str">
        <f t="shared" si="8"/>
        <v>https://www.google.com/maps/search/Museum%20Marchese%20Mario%20d%27Alessandro%2C%20Naples</v>
      </c>
      <c r="N153" s="24" t="s">
        <v>1018</v>
      </c>
      <c r="O153" s="19" t="s">
        <v>1019</v>
      </c>
      <c r="P153" s="25" t="str">
        <f t="shared" si="1"/>
        <v>Naples</v>
      </c>
      <c r="Q153" s="25" t="str">
        <f t="shared" si="2"/>
        <v>Relais sul Mare Boutique Hotel, Naples, Italy</v>
      </c>
      <c r="R153" s="25" t="str">
        <f>VLOOKUP(A153,'Travel Times'!$A$1:$E$1000,4,0)</f>
        <v>1 hour 22 mins</v>
      </c>
      <c r="S153" s="25" t="str">
        <f>VLOOKUP(A153,'Travel Times'!$A$1:$E$1000,5,0)</f>
        <v>16 mins</v>
      </c>
    </row>
    <row r="154">
      <c r="A154" s="19" t="s">
        <v>1158</v>
      </c>
      <c r="B154" s="19" t="s">
        <v>255</v>
      </c>
      <c r="C154" s="19" t="s">
        <v>941</v>
      </c>
      <c r="D154" s="19" t="s">
        <v>1009</v>
      </c>
      <c r="E154" s="19" t="s">
        <v>1159</v>
      </c>
      <c r="F154" s="19" t="s">
        <v>1160</v>
      </c>
      <c r="G154" s="19" t="s">
        <v>1058</v>
      </c>
      <c r="H154" s="19" t="s">
        <v>1161</v>
      </c>
      <c r="I154" s="19" t="str">
        <f>VLOOKUP(A154,'Manus All Chiaia'!$A$1:$I$70,9,0)&amp;", Italy"</f>
        <v>Via Toledo, 80134 Naples, Italy</v>
      </c>
      <c r="J154" s="19" t="str">
        <f>IFERROR(__xludf.DUMMYFUNCTION("JOIN("", "",K154,L154)"),"40.8485, 14.2565")</f>
        <v>40.8485, 14.2565</v>
      </c>
      <c r="K154" s="25">
        <f>VLOOKUP($A154,'Manus All Chiaia'!$A$1:$K$70,10,0)</f>
        <v>40.8485</v>
      </c>
      <c r="L154" s="25">
        <f>VLOOKUP($A154,'Manus All Chiaia'!$A$1:$K$70,11,0)</f>
        <v>14.2565</v>
      </c>
      <c r="M154" s="29" t="str">
        <f t="shared" si="8"/>
        <v>https://www.google.com/maps/search/Funicolare%20Centrale%2C%20Naples</v>
      </c>
      <c r="N154" s="24" t="s">
        <v>1018</v>
      </c>
      <c r="O154" s="19" t="s">
        <v>1019</v>
      </c>
      <c r="P154" s="25" t="str">
        <f t="shared" si="1"/>
        <v>Naples</v>
      </c>
      <c r="Q154" s="25" t="str">
        <f t="shared" si="2"/>
        <v>Relais sul Mare Boutique Hotel, Naples, Italy</v>
      </c>
      <c r="R154" s="25" t="str">
        <f>VLOOKUP(A154,'Travel Times'!$A$1:$E$1000,4,0)</f>
        <v>42 mins</v>
      </c>
      <c r="S154" s="25" t="str">
        <f>VLOOKUP(A154,'Travel Times'!$A$1:$E$1000,5,0)</f>
        <v>23 mins</v>
      </c>
    </row>
    <row r="155">
      <c r="A155" s="19" t="s">
        <v>1162</v>
      </c>
      <c r="B155" s="19" t="s">
        <v>255</v>
      </c>
      <c r="C155" s="19" t="s">
        <v>1163</v>
      </c>
      <c r="D155" s="19" t="s">
        <v>1164</v>
      </c>
      <c r="E155" s="19" t="s">
        <v>1165</v>
      </c>
      <c r="F155" s="19" t="s">
        <v>1166</v>
      </c>
      <c r="G155" s="19" t="s">
        <v>1167</v>
      </c>
      <c r="H155" s="19" t="s">
        <v>1139</v>
      </c>
      <c r="I155" s="19" t="str">
        <f>VLOOKUP(A155,'Manus All Chiaia'!$A$1:$I$70,9,0)&amp;", Italy"</f>
        <v>Via Caracciolo, 80121 Naples, Italy</v>
      </c>
      <c r="J155" s="19" t="str">
        <f>IFERROR(__xludf.DUMMYFUNCTION("JOIN("", "",K155,L155)"),"40.832, 14.248")</f>
        <v>40.832, 14.248</v>
      </c>
      <c r="K155" s="25">
        <f>VLOOKUP($A155,'Manus All Chiaia'!$A$1:$K$70,10,0)</f>
        <v>40.832</v>
      </c>
      <c r="L155" s="25">
        <f>VLOOKUP($A155,'Manus All Chiaia'!$A$1:$K$70,11,0)</f>
        <v>14.248</v>
      </c>
      <c r="M155" s="29" t="str">
        <f t="shared" si="8"/>
        <v>https://www.google.com/maps/search/Lungomare%20Caracciolo%2C%20Naples</v>
      </c>
      <c r="N155" s="24" t="s">
        <v>1018</v>
      </c>
      <c r="O155" s="19" t="s">
        <v>1019</v>
      </c>
      <c r="P155" s="25" t="str">
        <f t="shared" si="1"/>
        <v>Naples</v>
      </c>
      <c r="Q155" s="25" t="str">
        <f t="shared" si="2"/>
        <v>Relais sul Mare Boutique Hotel, Naples, Italy</v>
      </c>
      <c r="R155" s="25" t="str">
        <f>VLOOKUP(A155,'Travel Times'!$A$1:$E$1000,4,0)</f>
        <v>27 mins</v>
      </c>
      <c r="S155" s="25" t="str">
        <f>VLOOKUP(A155,'Travel Times'!$A$1:$E$1000,5,0)</f>
        <v>10 mins</v>
      </c>
    </row>
    <row r="156">
      <c r="A156" s="19" t="s">
        <v>1168</v>
      </c>
      <c r="B156" s="19" t="s">
        <v>255</v>
      </c>
      <c r="C156" s="19" t="s">
        <v>656</v>
      </c>
      <c r="D156" s="19" t="s">
        <v>657</v>
      </c>
      <c r="E156" s="19" t="s">
        <v>1169</v>
      </c>
      <c r="F156" s="19" t="s">
        <v>1170</v>
      </c>
      <c r="G156" s="19" t="s">
        <v>1171</v>
      </c>
      <c r="H156" s="19" t="s">
        <v>1172</v>
      </c>
      <c r="I156" s="19" t="str">
        <f>VLOOKUP(A156,'Manus All Chiaia'!$A$1:$I$70,9,0)&amp;", Italy"</f>
        <v>Via Chiaia, 80121 Naples, Italy</v>
      </c>
      <c r="J156" s="19" t="str">
        <f>IFERROR(__xludf.DUMMYFUNCTION("JOIN("", "",K156,L156)"),"40.838, 14.247")</f>
        <v>40.838, 14.247</v>
      </c>
      <c r="K156" s="25">
        <f>VLOOKUP($A156,'Manus All Chiaia'!$A$1:$K$70,10,0)</f>
        <v>40.838</v>
      </c>
      <c r="L156" s="25">
        <f>VLOOKUP($A156,'Manus All Chiaia'!$A$1:$K$70,11,0)</f>
        <v>14.247</v>
      </c>
      <c r="M156" s="29" t="str">
        <f t="shared" si="8"/>
        <v>https://www.google.com/maps/search/Via%20Chiaia%2C%20Naples</v>
      </c>
      <c r="N156" s="24" t="s">
        <v>1018</v>
      </c>
      <c r="O156" s="19" t="s">
        <v>1019</v>
      </c>
      <c r="P156" s="25" t="str">
        <f t="shared" si="1"/>
        <v>Naples</v>
      </c>
      <c r="Q156" s="25" t="str">
        <f t="shared" si="2"/>
        <v>Relais sul Mare Boutique Hotel, Naples, Italy</v>
      </c>
      <c r="R156" s="25" t="str">
        <f>VLOOKUP(A156,'Travel Times'!$A$1:$E$1000,4,0)</f>
        <v>16 mins</v>
      </c>
      <c r="S156" s="25" t="str">
        <f>VLOOKUP(A156,'Travel Times'!$A$1:$E$1000,5,0)</f>
        <v>11 mins</v>
      </c>
    </row>
    <row r="157">
      <c r="A157" s="19" t="s">
        <v>1173</v>
      </c>
      <c r="B157" s="19" t="s">
        <v>255</v>
      </c>
      <c r="C157" s="19" t="s">
        <v>1174</v>
      </c>
      <c r="D157" s="19" t="s">
        <v>657</v>
      </c>
      <c r="E157" s="19" t="s">
        <v>1175</v>
      </c>
      <c r="F157" s="19" t="s">
        <v>1176</v>
      </c>
      <c r="G157" s="19" t="s">
        <v>1058</v>
      </c>
      <c r="H157" s="19" t="s">
        <v>1177</v>
      </c>
      <c r="I157" s="19" t="str">
        <f>VLOOKUP(A157,'Manus All Chiaia'!$A$1:$I$70,9,0)&amp;", Italy"</f>
        <v>Via Chiaia 149/A, 80121 Naples, Italy</v>
      </c>
      <c r="J157" s="19" t="str">
        <f>IFERROR(__xludf.DUMMYFUNCTION("JOIN("", "",K157,L157)"),"40.8385, 14.2475")</f>
        <v>40.8385, 14.2475</v>
      </c>
      <c r="K157" s="25">
        <f>VLOOKUP($A157,'Manus All Chiaia'!$A$1:$K$70,10,0)</f>
        <v>40.8385</v>
      </c>
      <c r="L157" s="25">
        <f>VLOOKUP($A157,'Manus All Chiaia'!$A$1:$K$70,11,0)</f>
        <v>14.2475</v>
      </c>
      <c r="M157" s="29" t="str">
        <f t="shared" si="8"/>
        <v>https://www.google.com/maps/search/Rubinacci%2C%20Naples</v>
      </c>
      <c r="N157" s="24" t="s">
        <v>1018</v>
      </c>
      <c r="O157" s="19" t="s">
        <v>1019</v>
      </c>
      <c r="P157" s="25" t="str">
        <f t="shared" si="1"/>
        <v>Naples</v>
      </c>
      <c r="Q157" s="25" t="str">
        <f t="shared" si="2"/>
        <v>Relais sul Mare Boutique Hotel, Naples, Italy</v>
      </c>
      <c r="R157" s="25" t="str">
        <f>VLOOKUP(A157,'Travel Times'!$A$1:$E$1000,4,0)</f>
        <v>17 mins</v>
      </c>
      <c r="S157" s="25" t="str">
        <f>VLOOKUP(A157,'Travel Times'!$A$1:$E$1000,5,0)</f>
        <v>5 mins</v>
      </c>
    </row>
    <row r="158">
      <c r="A158" s="19" t="s">
        <v>1178</v>
      </c>
      <c r="B158" s="19" t="s">
        <v>255</v>
      </c>
      <c r="C158" s="19" t="s">
        <v>1174</v>
      </c>
      <c r="D158" s="19" t="s">
        <v>657</v>
      </c>
      <c r="E158" s="19" t="s">
        <v>1179</v>
      </c>
      <c r="F158" s="19" t="s">
        <v>1180</v>
      </c>
      <c r="G158" s="19" t="s">
        <v>1058</v>
      </c>
      <c r="H158" s="19" t="s">
        <v>1181</v>
      </c>
      <c r="I158" s="19" t="str">
        <f>VLOOKUP(A158,'Manus All Chiaia'!$A$1:$I$70,9,0)&amp;", Italy"</f>
        <v>Via Chiaia area, Naples, Italy</v>
      </c>
      <c r="J158" s="19" t="str">
        <f>IFERROR(__xludf.DUMMYFUNCTION("JOIN("", "",K158,L158)"),"40.838, 14.247")</f>
        <v>40.838, 14.247</v>
      </c>
      <c r="K158" s="25">
        <f>VLOOKUP($A158,'Manus All Chiaia'!$A$1:$K$70,10,0)</f>
        <v>40.838</v>
      </c>
      <c r="L158" s="25">
        <f>VLOOKUP($A158,'Manus All Chiaia'!$A$1:$K$70,11,0)</f>
        <v>14.247</v>
      </c>
      <c r="M158" s="29" t="str">
        <f t="shared" si="8"/>
        <v>https://www.google.com/maps/search/Gemelli%20da%20Polsi%2C%20Naples</v>
      </c>
      <c r="N158" s="24" t="s">
        <v>1018</v>
      </c>
      <c r="O158" s="19" t="s">
        <v>1019</v>
      </c>
      <c r="P158" s="25" t="str">
        <f t="shared" si="1"/>
        <v>Naples</v>
      </c>
      <c r="Q158" s="25" t="str">
        <f t="shared" si="2"/>
        <v>Relais sul Mare Boutique Hotel, Naples, Italy</v>
      </c>
      <c r="R158" s="25" t="str">
        <f>VLOOKUP(A158,'Travel Times'!$A$1:$E$1000,4,0)</f>
        <v>27 mins</v>
      </c>
      <c r="S158" s="25" t="str">
        <f>VLOOKUP(A158,'Travel Times'!$A$1:$E$1000,5,0)</f>
        <v>7 mins</v>
      </c>
    </row>
    <row r="159">
      <c r="A159" s="19" t="s">
        <v>1182</v>
      </c>
      <c r="B159" s="19" t="s">
        <v>255</v>
      </c>
      <c r="C159" s="19" t="s">
        <v>246</v>
      </c>
      <c r="D159" s="19" t="s">
        <v>247</v>
      </c>
      <c r="E159" s="19" t="s">
        <v>1183</v>
      </c>
      <c r="F159" s="19" t="s">
        <v>1184</v>
      </c>
      <c r="G159" s="19" t="s">
        <v>1185</v>
      </c>
      <c r="H159" s="19" t="s">
        <v>1145</v>
      </c>
      <c r="I159" s="19" t="s">
        <v>1186</v>
      </c>
      <c r="J159" s="19" t="s">
        <v>1187</v>
      </c>
      <c r="K159" s="19">
        <v>40.8352328</v>
      </c>
      <c r="L159" s="19">
        <v>14.2388971</v>
      </c>
      <c r="M159" s="29" t="str">
        <f t="shared" ref="M159:M192" si="9">HYPERLINK("https://www.google.com/maps/search/"&amp;ENCODEURL(A159&amp;", Naples, Italy"))</f>
        <v>https://www.google.com/maps/search/Birdy%27s%20Bakery%2C%20Naples%2C%20Italy</v>
      </c>
      <c r="N159" s="24" t="s">
        <v>1188</v>
      </c>
      <c r="O159" s="19" t="s">
        <v>197</v>
      </c>
      <c r="P159" s="25" t="str">
        <f t="shared" si="1"/>
        <v>Naples</v>
      </c>
      <c r="Q159" s="25" t="str">
        <f t="shared" si="2"/>
        <v>Relais sul Mare Boutique Hotel, Naples, Italy</v>
      </c>
      <c r="R159" s="25" t="str">
        <f>VLOOKUP(A159,'Travel Times'!$A$1:$E$1000,4,0)</f>
        <v>19 mins</v>
      </c>
      <c r="S159" s="25" t="str">
        <f>VLOOKUP(A159,'Travel Times'!$A$1:$E$1000,5,0)</f>
        <v>8 mins</v>
      </c>
    </row>
    <row r="160">
      <c r="A160" s="19" t="s">
        <v>1189</v>
      </c>
      <c r="B160" s="19" t="s">
        <v>255</v>
      </c>
      <c r="C160" s="19" t="s">
        <v>246</v>
      </c>
      <c r="D160" s="19" t="s">
        <v>247</v>
      </c>
      <c r="E160" s="19" t="s">
        <v>1190</v>
      </c>
      <c r="F160" s="19" t="s">
        <v>1191</v>
      </c>
      <c r="G160" s="19" t="s">
        <v>1058</v>
      </c>
      <c r="H160" s="19" t="s">
        <v>1192</v>
      </c>
      <c r="I160" s="19" t="s">
        <v>1193</v>
      </c>
      <c r="J160" s="19" t="s">
        <v>1194</v>
      </c>
      <c r="K160" s="19">
        <v>40.8403652</v>
      </c>
      <c r="L160" s="19">
        <v>14.2434381</v>
      </c>
      <c r="M160" s="29" t="str">
        <f t="shared" si="9"/>
        <v>https://www.google.com/maps/search/Caff%C3%A8%20Sansone%2C%20Naples%2C%20Italy</v>
      </c>
      <c r="N160" s="24" t="s">
        <v>1188</v>
      </c>
      <c r="O160" s="19" t="s">
        <v>197</v>
      </c>
      <c r="P160" s="25" t="str">
        <f t="shared" si="1"/>
        <v>Naples</v>
      </c>
      <c r="Q160" s="25" t="str">
        <f t="shared" si="2"/>
        <v>Relais sul Mare Boutique Hotel, Naples, Italy</v>
      </c>
      <c r="R160" s="25" t="str">
        <f>VLOOKUP(A160,'Travel Times'!$A$1:$E$1000,4,0)</f>
        <v>25 mins</v>
      </c>
      <c r="S160" s="25" t="str">
        <f>VLOOKUP(A160,'Travel Times'!$A$1:$E$1000,5,0)</f>
        <v>12 mins</v>
      </c>
    </row>
    <row r="161">
      <c r="A161" s="19" t="s">
        <v>1195</v>
      </c>
      <c r="B161" s="19" t="s">
        <v>255</v>
      </c>
      <c r="C161" s="19" t="s">
        <v>246</v>
      </c>
      <c r="D161" s="19" t="s">
        <v>247</v>
      </c>
      <c r="E161" s="19" t="s">
        <v>1196</v>
      </c>
      <c r="F161" s="19" t="s">
        <v>1197</v>
      </c>
      <c r="G161" s="19" t="s">
        <v>1058</v>
      </c>
      <c r="H161" s="19" t="s">
        <v>1153</v>
      </c>
      <c r="I161" s="19" t="s">
        <v>1198</v>
      </c>
      <c r="J161" s="19" t="s">
        <v>1199</v>
      </c>
      <c r="K161" s="19">
        <v>40.8368152</v>
      </c>
      <c r="L161" s="19">
        <v>14.2346448</v>
      </c>
      <c r="M161" s="29" t="str">
        <f t="shared" si="9"/>
        <v>https://www.google.com/maps/search/Blue%20Turtle%20Caffeteria%2C%20Naples%2C%20Italy</v>
      </c>
      <c r="N161" s="24" t="s">
        <v>1188</v>
      </c>
      <c r="O161" s="19" t="s">
        <v>197</v>
      </c>
      <c r="P161" s="25" t="str">
        <f t="shared" si="1"/>
        <v>Naples</v>
      </c>
      <c r="Q161" s="25" t="str">
        <f t="shared" si="2"/>
        <v>Relais sul Mare Boutique Hotel, Naples, Italy</v>
      </c>
      <c r="R161" s="25" t="str">
        <f>VLOOKUP(A161,'Travel Times'!$A$1:$E$1000,4,0)</f>
        <v>28 mins</v>
      </c>
      <c r="S161" s="25" t="str">
        <f>VLOOKUP(A161,'Travel Times'!$A$1:$E$1000,5,0)</f>
        <v>8 mins</v>
      </c>
    </row>
    <row r="162">
      <c r="A162" s="19" t="s">
        <v>1200</v>
      </c>
      <c r="B162" s="19" t="s">
        <v>255</v>
      </c>
      <c r="C162" s="19" t="s">
        <v>246</v>
      </c>
      <c r="D162" s="19" t="s">
        <v>625</v>
      </c>
      <c r="E162" s="19" t="s">
        <v>1201</v>
      </c>
      <c r="F162" s="19" t="s">
        <v>1202</v>
      </c>
      <c r="G162" s="19" t="s">
        <v>1058</v>
      </c>
      <c r="H162" s="19" t="s">
        <v>1157</v>
      </c>
      <c r="I162" s="19" t="s">
        <v>1203</v>
      </c>
      <c r="J162" s="19" t="s">
        <v>1204</v>
      </c>
      <c r="K162" s="19">
        <v>40.8364836</v>
      </c>
      <c r="L162" s="19">
        <v>14.2371015</v>
      </c>
      <c r="M162" s="29" t="str">
        <f t="shared" si="9"/>
        <v>https://www.google.com/maps/search/Pasticceria%20Mennella%2C%20Naples%2C%20Italy</v>
      </c>
      <c r="N162" s="24" t="s">
        <v>1188</v>
      </c>
      <c r="O162" s="19" t="s">
        <v>197</v>
      </c>
      <c r="P162" s="25" t="str">
        <f t="shared" si="1"/>
        <v>Naples</v>
      </c>
      <c r="Q162" s="25" t="str">
        <f t="shared" si="2"/>
        <v>Relais sul Mare Boutique Hotel, Naples, Italy</v>
      </c>
      <c r="R162" s="25" t="str">
        <f>VLOOKUP(A162,'Travel Times'!$A$1:$E$1000,4,0)</f>
        <v>23 mins</v>
      </c>
      <c r="S162" s="25" t="str">
        <f>VLOOKUP(A162,'Travel Times'!$A$1:$E$1000,5,0)</f>
        <v>7 mins</v>
      </c>
    </row>
    <row r="163">
      <c r="A163" s="19" t="s">
        <v>1205</v>
      </c>
      <c r="B163" s="19" t="s">
        <v>255</v>
      </c>
      <c r="C163" s="19" t="s">
        <v>246</v>
      </c>
      <c r="D163" s="19" t="s">
        <v>1206</v>
      </c>
      <c r="E163" s="19" t="s">
        <v>1207</v>
      </c>
      <c r="F163" s="19" t="s">
        <v>1208</v>
      </c>
      <c r="G163" s="19" t="s">
        <v>1058</v>
      </c>
      <c r="H163" s="19" t="s">
        <v>1123</v>
      </c>
      <c r="I163" s="19" t="s">
        <v>567</v>
      </c>
      <c r="J163" s="19" t="s">
        <v>568</v>
      </c>
      <c r="K163" s="19">
        <v>40.8517746</v>
      </c>
      <c r="L163" s="19">
        <v>14.2681244</v>
      </c>
      <c r="M163" s="29" t="str">
        <f t="shared" si="9"/>
        <v>https://www.google.com/maps/search/La%20Feltrinelli%20Bookstore%20Cafe%2C%20Naples%2C%20Italy</v>
      </c>
      <c r="N163" s="24" t="s">
        <v>1188</v>
      </c>
      <c r="O163" s="19" t="s">
        <v>197</v>
      </c>
      <c r="P163" s="25" t="str">
        <f t="shared" si="1"/>
        <v>Naples</v>
      </c>
      <c r="Q163" s="25" t="str">
        <f t="shared" si="2"/>
        <v>Relais sul Mare Boutique Hotel, Naples, Italy</v>
      </c>
      <c r="R163" s="25" t="str">
        <f>VLOOKUP(A163,'Travel Times'!$A$1:$E$1000,4,0)</f>
        <v>50 mins</v>
      </c>
      <c r="S163" s="25" t="str">
        <f>VLOOKUP(A163,'Travel Times'!$A$1:$E$1000,5,0)</f>
        <v>13 mins</v>
      </c>
    </row>
    <row r="164">
      <c r="A164" s="19" t="s">
        <v>1209</v>
      </c>
      <c r="B164" s="19" t="s">
        <v>255</v>
      </c>
      <c r="C164" s="19" t="s">
        <v>1210</v>
      </c>
      <c r="D164" s="19" t="s">
        <v>409</v>
      </c>
      <c r="E164" s="19" t="s">
        <v>1211</v>
      </c>
      <c r="F164" s="19" t="s">
        <v>1212</v>
      </c>
      <c r="G164" s="19" t="s">
        <v>1058</v>
      </c>
      <c r="H164" s="19" t="s">
        <v>1213</v>
      </c>
      <c r="I164" s="19" t="s">
        <v>1214</v>
      </c>
      <c r="J164" s="19" t="s">
        <v>1215</v>
      </c>
      <c r="K164" s="19">
        <v>40.8283749</v>
      </c>
      <c r="L164" s="19">
        <v>14.2202568</v>
      </c>
      <c r="M164" s="29" t="str">
        <f t="shared" si="9"/>
        <v>https://www.google.com/maps/search/50%20Kal%C3%B3%2C%20Naples%2C%20Italy</v>
      </c>
      <c r="N164" s="24" t="s">
        <v>1188</v>
      </c>
      <c r="O164" s="19" t="s">
        <v>197</v>
      </c>
      <c r="P164" s="25" t="str">
        <f t="shared" si="1"/>
        <v>Naples</v>
      </c>
      <c r="Q164" s="25" t="str">
        <f t="shared" si="2"/>
        <v>Relais sul Mare Boutique Hotel, Naples, Italy</v>
      </c>
      <c r="R164" s="25" t="str">
        <f>VLOOKUP(A164,'Travel Times'!$A$1:$E$1000,4,0)</f>
        <v>38 mins</v>
      </c>
      <c r="S164" s="25" t="str">
        <f>VLOOKUP(A164,'Travel Times'!$A$1:$E$1000,5,0)</f>
        <v>10 mins</v>
      </c>
      <c r="T164" s="9" t="s">
        <v>1216</v>
      </c>
    </row>
    <row r="165">
      <c r="A165" s="19" t="s">
        <v>1217</v>
      </c>
      <c r="B165" s="19" t="s">
        <v>255</v>
      </c>
      <c r="C165" s="19" t="s">
        <v>1210</v>
      </c>
      <c r="D165" s="19" t="s">
        <v>409</v>
      </c>
      <c r="E165" s="19" t="s">
        <v>1218</v>
      </c>
      <c r="F165" s="19" t="s">
        <v>1219</v>
      </c>
      <c r="G165" s="19" t="s">
        <v>1058</v>
      </c>
      <c r="H165" s="19" t="s">
        <v>1145</v>
      </c>
      <c r="I165" s="19" t="s">
        <v>1220</v>
      </c>
      <c r="J165" s="19" t="s">
        <v>1221</v>
      </c>
      <c r="K165" s="19">
        <v>40.8360475</v>
      </c>
      <c r="L165" s="19">
        <v>14.2452463</v>
      </c>
      <c r="M165" s="29" t="str">
        <f t="shared" si="9"/>
        <v>https://www.google.com/maps/search/Pizzeria%20Donna%20Sofia%20a%20Chiaia%2C%20Naples%2C%20Italy</v>
      </c>
      <c r="N165" s="24" t="s">
        <v>1188</v>
      </c>
      <c r="O165" s="19" t="s">
        <v>197</v>
      </c>
      <c r="P165" s="25" t="str">
        <f t="shared" si="1"/>
        <v>Naples</v>
      </c>
      <c r="Q165" s="25" t="str">
        <f t="shared" si="2"/>
        <v>Relais sul Mare Boutique Hotel, Naples, Italy</v>
      </c>
      <c r="R165" s="25" t="str">
        <f>VLOOKUP(A165,'Travel Times'!$A$1:$E$1000,4,0)</f>
        <v>15 mins</v>
      </c>
      <c r="S165" s="25" t="str">
        <f>VLOOKUP(A165,'Travel Times'!$A$1:$E$1000,5,0)</f>
        <v>11 mins</v>
      </c>
    </row>
    <row r="166">
      <c r="A166" s="19" t="s">
        <v>1222</v>
      </c>
      <c r="B166" s="19" t="s">
        <v>255</v>
      </c>
      <c r="C166" s="19" t="s">
        <v>1210</v>
      </c>
      <c r="D166" s="19" t="s">
        <v>409</v>
      </c>
      <c r="E166" s="19" t="s">
        <v>1223</v>
      </c>
      <c r="F166" s="19" t="s">
        <v>1224</v>
      </c>
      <c r="G166" s="19" t="s">
        <v>1058</v>
      </c>
      <c r="H166" s="19" t="s">
        <v>1225</v>
      </c>
      <c r="I166" s="19" t="s">
        <v>1226</v>
      </c>
      <c r="J166" s="19" t="s">
        <v>1227</v>
      </c>
      <c r="K166" s="19">
        <v>40.83663</v>
      </c>
      <c r="L166" s="19">
        <v>14.2132139</v>
      </c>
      <c r="M166" s="29" t="str">
        <f t="shared" si="9"/>
        <v>https://www.google.com/maps/search/Mama%20Eat%20-%20Napoli%2C%20Naples%2C%20Italy</v>
      </c>
      <c r="N166" s="24" t="s">
        <v>1188</v>
      </c>
      <c r="O166" s="19" t="s">
        <v>197</v>
      </c>
      <c r="P166" s="25" t="str">
        <f t="shared" si="1"/>
        <v>Naples</v>
      </c>
      <c r="Q166" s="25" t="str">
        <f t="shared" si="2"/>
        <v>Relais sul Mare Boutique Hotel, Naples, Italy</v>
      </c>
      <c r="R166" s="25" t="str">
        <f>VLOOKUP(A166,'Travel Times'!$A$1:$E$1000,4,0)</f>
        <v>1 hour 7 mins</v>
      </c>
      <c r="S166" s="25" t="str">
        <f>VLOOKUP(A166,'Travel Times'!$A$1:$E$1000,5,0)</f>
        <v>16 mins</v>
      </c>
    </row>
    <row r="167">
      <c r="A167" s="19" t="s">
        <v>1228</v>
      </c>
      <c r="B167" s="19" t="s">
        <v>255</v>
      </c>
      <c r="C167" s="19" t="s">
        <v>1210</v>
      </c>
      <c r="D167" s="19" t="s">
        <v>409</v>
      </c>
      <c r="E167" s="19" t="s">
        <v>1229</v>
      </c>
      <c r="F167" s="19" t="s">
        <v>1230</v>
      </c>
      <c r="G167" s="19" t="s">
        <v>1058</v>
      </c>
      <c r="H167" s="19" t="s">
        <v>1231</v>
      </c>
      <c r="I167" s="19" t="s">
        <v>1232</v>
      </c>
      <c r="J167" s="19" t="s">
        <v>1233</v>
      </c>
      <c r="K167" s="19">
        <v>40.8353744</v>
      </c>
      <c r="L167" s="19">
        <v>14.2112749</v>
      </c>
      <c r="M167" s="29" t="str">
        <f t="shared" si="9"/>
        <v>https://www.google.com/maps/search/Pizzeria%20Gaetano%20Genovesi%2C%20Naples%2C%20Italy</v>
      </c>
      <c r="N167" s="24" t="s">
        <v>1188</v>
      </c>
      <c r="O167" s="19" t="s">
        <v>197</v>
      </c>
      <c r="P167" s="25" t="str">
        <f t="shared" si="1"/>
        <v>Naples</v>
      </c>
      <c r="Q167" s="25" t="str">
        <f t="shared" si="2"/>
        <v>Relais sul Mare Boutique Hotel, Naples, Italy</v>
      </c>
      <c r="R167" s="25" t="str">
        <f>VLOOKUP(A167,'Travel Times'!$A$1:$E$1000,4,0)</f>
        <v>1 hour 12 mins</v>
      </c>
      <c r="S167" s="25" t="str">
        <f>VLOOKUP(A167,'Travel Times'!$A$1:$E$1000,5,0)</f>
        <v>17 mins</v>
      </c>
    </row>
    <row r="168">
      <c r="A168" s="19" t="s">
        <v>1234</v>
      </c>
      <c r="B168" s="19" t="s">
        <v>255</v>
      </c>
      <c r="C168" s="19" t="s">
        <v>408</v>
      </c>
      <c r="D168" s="19" t="s">
        <v>521</v>
      </c>
      <c r="E168" s="19" t="s">
        <v>1235</v>
      </c>
      <c r="F168" s="19" t="s">
        <v>1236</v>
      </c>
      <c r="G168" s="19" t="s">
        <v>1058</v>
      </c>
      <c r="H168" s="19" t="s">
        <v>1237</v>
      </c>
      <c r="I168" s="19" t="s">
        <v>1238</v>
      </c>
      <c r="J168" s="19" t="s">
        <v>1239</v>
      </c>
      <c r="K168" s="19">
        <v>40.8585895</v>
      </c>
      <c r="L168" s="19">
        <v>14.2607189</v>
      </c>
      <c r="M168" s="29" t="str">
        <f t="shared" si="9"/>
        <v>https://www.google.com/maps/search/Umberto%2C%20Naples%2C%20Italy</v>
      </c>
      <c r="N168" s="24" t="s">
        <v>1188</v>
      </c>
      <c r="O168" s="19" t="s">
        <v>197</v>
      </c>
      <c r="P168" s="25" t="str">
        <f t="shared" si="1"/>
        <v>Naples</v>
      </c>
      <c r="Q168" s="25" t="str">
        <f t="shared" si="2"/>
        <v>Relais sul Mare Boutique Hotel, Naples, Italy</v>
      </c>
      <c r="R168" s="25" t="str">
        <f>VLOOKUP(A168,'Travel Times'!$A$1:$E$1000,4,0)</f>
        <v>53 mins</v>
      </c>
      <c r="S168" s="25" t="str">
        <f>VLOOKUP(A168,'Travel Times'!$A$1:$E$1000,5,0)</f>
        <v>18 mins</v>
      </c>
    </row>
    <row r="169">
      <c r="A169" s="19" t="s">
        <v>1240</v>
      </c>
      <c r="B169" s="19" t="s">
        <v>255</v>
      </c>
      <c r="C169" s="19" t="s">
        <v>1104</v>
      </c>
      <c r="D169" s="19" t="s">
        <v>270</v>
      </c>
      <c r="E169" s="19" t="s">
        <v>1241</v>
      </c>
      <c r="F169" s="19" t="s">
        <v>1242</v>
      </c>
      <c r="G169" s="19" t="s">
        <v>1058</v>
      </c>
      <c r="H169" s="19" t="s">
        <v>1243</v>
      </c>
      <c r="I169" s="19" t="s">
        <v>1244</v>
      </c>
      <c r="J169" s="19" t="s">
        <v>1245</v>
      </c>
      <c r="K169" s="19">
        <v>40.8458993</v>
      </c>
      <c r="L169" s="19">
        <v>14.2557424</v>
      </c>
      <c r="M169" s="29" t="str">
        <f t="shared" si="9"/>
        <v>https://www.google.com/maps/search/Kest%C3%A8%2C%20Naples%2C%20Italy</v>
      </c>
      <c r="N169" s="24" t="s">
        <v>1188</v>
      </c>
      <c r="O169" s="19" t="s">
        <v>197</v>
      </c>
      <c r="P169" s="25" t="str">
        <f t="shared" si="1"/>
        <v>Naples</v>
      </c>
      <c r="Q169" s="25" t="str">
        <f t="shared" si="2"/>
        <v>Relais sul Mare Boutique Hotel, Naples, Italy</v>
      </c>
      <c r="R169" s="25" t="str">
        <f>VLOOKUP(A169,'Travel Times'!$A$1:$E$1000,4,0)</f>
        <v>31 mins</v>
      </c>
      <c r="S169" s="25" t="str">
        <f>VLOOKUP(A169,'Travel Times'!$A$1:$E$1000,5,0)</f>
        <v>9 mins</v>
      </c>
    </row>
    <row r="170">
      <c r="A170" s="19" t="s">
        <v>1246</v>
      </c>
      <c r="B170" s="19" t="s">
        <v>255</v>
      </c>
      <c r="C170" s="19" t="s">
        <v>1104</v>
      </c>
      <c r="D170" s="19" t="s">
        <v>270</v>
      </c>
      <c r="E170" s="19" t="s">
        <v>1247</v>
      </c>
      <c r="F170" s="19" t="s">
        <v>1248</v>
      </c>
      <c r="G170" s="19" t="s">
        <v>1058</v>
      </c>
      <c r="H170" s="19" t="s">
        <v>1237</v>
      </c>
      <c r="I170" s="19" t="s">
        <v>1249</v>
      </c>
      <c r="J170" s="19" t="s">
        <v>1250</v>
      </c>
      <c r="K170" s="19">
        <v>40.8489422</v>
      </c>
      <c r="L170" s="19">
        <v>14.2523447</v>
      </c>
      <c r="M170" s="29" t="str">
        <f t="shared" si="9"/>
        <v>https://www.google.com/maps/search/Vineria%20San%20Sebastiano%2C%20Naples%2C%20Italy</v>
      </c>
      <c r="N170" s="24" t="s">
        <v>1188</v>
      </c>
      <c r="O170" s="19" t="s">
        <v>197</v>
      </c>
      <c r="P170" s="25" t="str">
        <f t="shared" si="1"/>
        <v>Naples</v>
      </c>
      <c r="Q170" s="25" t="str">
        <f t="shared" si="2"/>
        <v>Relais sul Mare Boutique Hotel, Naples, Italy</v>
      </c>
      <c r="R170" s="25" t="str">
        <f>VLOOKUP(A170,'Travel Times'!$A$1:$E$1000,4,0)</f>
        <v>34 mins</v>
      </c>
      <c r="S170" s="25" t="str">
        <f>VLOOKUP(A170,'Travel Times'!$A$1:$E$1000,5,0)</f>
        <v>11 mins</v>
      </c>
    </row>
    <row r="171">
      <c r="A171" s="19" t="s">
        <v>1251</v>
      </c>
      <c r="B171" s="19" t="s">
        <v>255</v>
      </c>
      <c r="C171" s="19" t="s">
        <v>1104</v>
      </c>
      <c r="D171" s="19" t="s">
        <v>270</v>
      </c>
      <c r="E171" s="19" t="s">
        <v>1252</v>
      </c>
      <c r="F171" s="19" t="s">
        <v>1253</v>
      </c>
      <c r="G171" s="19" t="s">
        <v>1058</v>
      </c>
      <c r="H171" s="19" t="s">
        <v>1243</v>
      </c>
      <c r="I171" s="19" t="s">
        <v>1254</v>
      </c>
      <c r="J171" s="19" t="s">
        <v>1255</v>
      </c>
      <c r="K171" s="19">
        <v>40.8380594</v>
      </c>
      <c r="L171" s="19">
        <v>14.2480586</v>
      </c>
      <c r="M171" s="29" t="str">
        <f t="shared" si="9"/>
        <v>https://www.google.com/maps/search/Spuzzul%C3%A8%20Wine%2C%20Naples%2C%20Italy</v>
      </c>
      <c r="N171" s="24" t="s">
        <v>1188</v>
      </c>
      <c r="O171" s="19" t="s">
        <v>197</v>
      </c>
      <c r="P171" s="25" t="str">
        <f t="shared" si="1"/>
        <v>Naples</v>
      </c>
      <c r="Q171" s="25" t="str">
        <f t="shared" si="2"/>
        <v>Relais sul Mare Boutique Hotel, Naples, Italy</v>
      </c>
      <c r="R171" s="25" t="str">
        <f>VLOOKUP(A171,'Travel Times'!$A$1:$E$1000,4,0)</f>
        <v>14 mins</v>
      </c>
      <c r="S171" s="25" t="str">
        <f>VLOOKUP(A171,'Travel Times'!$A$1:$E$1000,5,0)</f>
        <v>12 mins</v>
      </c>
    </row>
    <row r="172">
      <c r="A172" s="19" t="s">
        <v>1256</v>
      </c>
      <c r="B172" s="19" t="s">
        <v>255</v>
      </c>
      <c r="C172" s="19" t="s">
        <v>1088</v>
      </c>
      <c r="D172" s="19" t="s">
        <v>1096</v>
      </c>
      <c r="E172" s="19" t="s">
        <v>1257</v>
      </c>
      <c r="F172" s="19" t="s">
        <v>1258</v>
      </c>
      <c r="G172" s="19" t="s">
        <v>1058</v>
      </c>
      <c r="H172" s="19" t="s">
        <v>1237</v>
      </c>
      <c r="I172" s="19" t="s">
        <v>1259</v>
      </c>
      <c r="J172" s="19" t="s">
        <v>1260</v>
      </c>
      <c r="K172" s="19">
        <v>40.8474023</v>
      </c>
      <c r="L172" s="19">
        <v>14.2557165</v>
      </c>
      <c r="M172" s="29" t="str">
        <f t="shared" si="9"/>
        <v>https://www.google.com/maps/search/Archeobar%20-%20Negroneria%20Napoletana%2C%20Naples%2C%20Italy</v>
      </c>
      <c r="N172" s="24" t="s">
        <v>1188</v>
      </c>
      <c r="O172" s="19" t="s">
        <v>197</v>
      </c>
      <c r="P172" s="25" t="str">
        <f t="shared" si="1"/>
        <v>Naples</v>
      </c>
      <c r="Q172" s="25" t="str">
        <f t="shared" si="2"/>
        <v>Relais sul Mare Boutique Hotel, Naples, Italy</v>
      </c>
      <c r="R172" s="25" t="str">
        <f>VLOOKUP(A172,'Travel Times'!$A$1:$E$1000,4,0)</f>
        <v>33 mins</v>
      </c>
      <c r="S172" s="25" t="str">
        <f>VLOOKUP(A172,'Travel Times'!$A$1:$E$1000,5,0)</f>
        <v>8 mins</v>
      </c>
    </row>
    <row r="173">
      <c r="A173" s="19" t="s">
        <v>1261</v>
      </c>
      <c r="B173" s="19" t="s">
        <v>255</v>
      </c>
      <c r="C173" s="19" t="s">
        <v>1104</v>
      </c>
      <c r="D173" s="19" t="s">
        <v>270</v>
      </c>
      <c r="E173" s="19" t="s">
        <v>1262</v>
      </c>
      <c r="F173" s="19" t="s">
        <v>1263</v>
      </c>
      <c r="G173" s="19" t="s">
        <v>1058</v>
      </c>
      <c r="H173" s="19" t="s">
        <v>1264</v>
      </c>
      <c r="I173" s="19" t="s">
        <v>1265</v>
      </c>
      <c r="J173" s="19" t="s">
        <v>1266</v>
      </c>
      <c r="K173" s="19">
        <v>40.839339</v>
      </c>
      <c r="L173" s="19">
        <v>14.2479643</v>
      </c>
      <c r="M173" s="29" t="str">
        <f t="shared" si="9"/>
        <v>https://www.google.com/maps/search/Wine%20Boat%20Wine%20Bar%2C%20Naples%2C%20Italy</v>
      </c>
      <c r="N173" s="24" t="s">
        <v>1188</v>
      </c>
      <c r="O173" s="19" t="s">
        <v>197</v>
      </c>
      <c r="P173" s="25" t="str">
        <f t="shared" si="1"/>
        <v>Naples</v>
      </c>
      <c r="Q173" s="25" t="str">
        <f t="shared" si="2"/>
        <v>Relais sul Mare Boutique Hotel, Naples, Italy</v>
      </c>
      <c r="R173" s="25" t="str">
        <f>VLOOKUP(A173,'Travel Times'!$A$1:$E$1000,4,0)</f>
        <v>16 mins</v>
      </c>
      <c r="S173" s="25" t="str">
        <f>VLOOKUP(A173,'Travel Times'!$A$1:$E$1000,5,0)</f>
        <v>10 mins</v>
      </c>
    </row>
    <row r="174">
      <c r="A174" s="19" t="s">
        <v>1267</v>
      </c>
      <c r="B174" s="19" t="s">
        <v>255</v>
      </c>
      <c r="C174" s="19" t="s">
        <v>1174</v>
      </c>
      <c r="D174" s="19" t="s">
        <v>1268</v>
      </c>
      <c r="E174" s="19" t="s">
        <v>1269</v>
      </c>
      <c r="F174" s="19" t="s">
        <v>1270</v>
      </c>
      <c r="G174" s="19" t="s">
        <v>1058</v>
      </c>
      <c r="H174" s="19" t="s">
        <v>1172</v>
      </c>
      <c r="I174" s="19" t="s">
        <v>1271</v>
      </c>
      <c r="J174" s="19" t="s">
        <v>1272</v>
      </c>
      <c r="K174" s="19">
        <v>40.833196</v>
      </c>
      <c r="L174" s="19">
        <v>14.240801</v>
      </c>
      <c r="M174" s="29" t="str">
        <f t="shared" si="9"/>
        <v>https://www.google.com/maps/search/Marinella%2C%20Naples%2C%20Italy</v>
      </c>
      <c r="N174" s="24" t="s">
        <v>1188</v>
      </c>
      <c r="O174" s="19" t="s">
        <v>197</v>
      </c>
      <c r="P174" s="25" t="str">
        <f t="shared" si="1"/>
        <v>Naples</v>
      </c>
      <c r="Q174" s="25" t="str">
        <f t="shared" si="2"/>
        <v>Relais sul Mare Boutique Hotel, Naples, Italy</v>
      </c>
      <c r="R174" s="25" t="str">
        <f>VLOOKUP(A174,'Travel Times'!$A$1:$E$1000,4,0)</f>
        <v>14 mins</v>
      </c>
      <c r="S174" s="25" t="str">
        <f>VLOOKUP(A174,'Travel Times'!$A$1:$E$1000,5,0)</f>
        <v>5 mins</v>
      </c>
    </row>
    <row r="175">
      <c r="A175" s="19" t="s">
        <v>1273</v>
      </c>
      <c r="B175" s="19" t="s">
        <v>255</v>
      </c>
      <c r="C175" s="19" t="s">
        <v>1174</v>
      </c>
      <c r="D175" s="19" t="s">
        <v>1274</v>
      </c>
      <c r="E175" s="19" t="s">
        <v>1275</v>
      </c>
      <c r="F175" s="19" t="s">
        <v>1276</v>
      </c>
      <c r="G175" s="19" t="s">
        <v>1058</v>
      </c>
      <c r="H175" s="19" t="s">
        <v>1277</v>
      </c>
      <c r="I175" s="19" t="s">
        <v>1278</v>
      </c>
      <c r="J175" s="19" t="s">
        <v>1279</v>
      </c>
      <c r="K175" s="19">
        <v>40.8379655</v>
      </c>
      <c r="L175" s="19">
        <v>14.2474107</v>
      </c>
      <c r="M175" s="29" t="str">
        <f t="shared" si="9"/>
        <v>https://www.google.com/maps/search/Scaramanzia%2C%20Naples%2C%20Italy</v>
      </c>
      <c r="N175" s="24" t="s">
        <v>1188</v>
      </c>
      <c r="O175" s="19" t="s">
        <v>197</v>
      </c>
      <c r="P175" s="25" t="str">
        <f t="shared" si="1"/>
        <v>Naples</v>
      </c>
      <c r="Q175" s="25" t="str">
        <f t="shared" si="2"/>
        <v>Relais sul Mare Boutique Hotel, Naples, Italy</v>
      </c>
      <c r="R175" s="25" t="str">
        <f>VLOOKUP(A175,'Travel Times'!$A$1:$E$1000,4,0)</f>
        <v>15 mins</v>
      </c>
      <c r="S175" s="25" t="str">
        <f>VLOOKUP(A175,'Travel Times'!$A$1:$E$1000,5,0)</f>
        <v>12 mins</v>
      </c>
    </row>
    <row r="176">
      <c r="A176" s="19" t="s">
        <v>1280</v>
      </c>
      <c r="B176" s="19" t="s">
        <v>255</v>
      </c>
      <c r="C176" s="19" t="s">
        <v>1174</v>
      </c>
      <c r="D176" s="19" t="s">
        <v>1281</v>
      </c>
      <c r="E176" s="19" t="s">
        <v>1282</v>
      </c>
      <c r="F176" s="19" t="s">
        <v>1283</v>
      </c>
      <c r="G176" s="19" t="s">
        <v>1058</v>
      </c>
      <c r="H176" s="19" t="s">
        <v>1284</v>
      </c>
      <c r="I176" s="19" t="s">
        <v>567</v>
      </c>
      <c r="J176" s="19" t="s">
        <v>568</v>
      </c>
      <c r="K176" s="19">
        <v>40.8517746</v>
      </c>
      <c r="L176" s="19">
        <v>14.2681244</v>
      </c>
      <c r="M176" s="29" t="str">
        <f t="shared" si="9"/>
        <v>https://www.google.com/maps/search/Otisopse%2C%20Naples%2C%20Italy</v>
      </c>
      <c r="N176" s="24" t="s">
        <v>1188</v>
      </c>
      <c r="O176" s="19" t="s">
        <v>197</v>
      </c>
      <c r="P176" s="25" t="str">
        <f t="shared" si="1"/>
        <v>Naples</v>
      </c>
      <c r="Q176" s="25" t="str">
        <f t="shared" si="2"/>
        <v>Relais sul Mare Boutique Hotel, Naples, Italy</v>
      </c>
      <c r="R176" s="25" t="str">
        <f>VLOOKUP(A176,'Travel Times'!$A$1:$E$1000,4,0)</f>
        <v>#ERROR!</v>
      </c>
      <c r="S176" s="25" t="str">
        <f>VLOOKUP(A176,'Travel Times'!$A$1:$E$1000,5,0)</f>
        <v>#ERROR!</v>
      </c>
    </row>
    <row r="177">
      <c r="A177" s="19" t="s">
        <v>1285</v>
      </c>
      <c r="B177" s="19" t="s">
        <v>255</v>
      </c>
      <c r="C177" s="19" t="s">
        <v>1286</v>
      </c>
      <c r="D177" s="19" t="s">
        <v>1287</v>
      </c>
      <c r="E177" s="19" t="s">
        <v>1288</v>
      </c>
      <c r="F177" s="19" t="s">
        <v>1289</v>
      </c>
      <c r="G177" s="19" t="s">
        <v>1058</v>
      </c>
      <c r="H177" s="19" t="s">
        <v>1290</v>
      </c>
      <c r="I177" s="19" t="s">
        <v>1291</v>
      </c>
      <c r="J177" s="19" t="s">
        <v>1292</v>
      </c>
      <c r="K177" s="19">
        <v>40.8339263</v>
      </c>
      <c r="L177" s="19">
        <v>14.2370494</v>
      </c>
      <c r="M177" s="29" t="str">
        <f t="shared" si="9"/>
        <v>https://www.google.com/maps/search/Antichita%20e%20Restauro%20Lepre%20dal%201959%2C%20Naples%2C%20Italy</v>
      </c>
      <c r="N177" s="24" t="s">
        <v>1188</v>
      </c>
      <c r="O177" s="19" t="s">
        <v>197</v>
      </c>
      <c r="P177" s="25" t="str">
        <f t="shared" si="1"/>
        <v>Naples</v>
      </c>
      <c r="Q177" s="25" t="str">
        <f t="shared" si="2"/>
        <v>Relais sul Mare Boutique Hotel, Naples, Italy</v>
      </c>
      <c r="R177" s="25" t="str">
        <f>VLOOKUP(A177,'Travel Times'!$A$1:$E$1000,4,0)</f>
        <v>19 mins</v>
      </c>
      <c r="S177" s="25" t="str">
        <f>VLOOKUP(A177,'Travel Times'!$A$1:$E$1000,5,0)</f>
        <v>12 mins</v>
      </c>
    </row>
    <row r="178">
      <c r="A178" s="19" t="s">
        <v>1293</v>
      </c>
      <c r="B178" s="19" t="s">
        <v>255</v>
      </c>
      <c r="C178" s="19" t="s">
        <v>1119</v>
      </c>
      <c r="D178" s="19" t="s">
        <v>222</v>
      </c>
      <c r="E178" s="19" t="s">
        <v>1294</v>
      </c>
      <c r="F178" s="19" t="s">
        <v>1295</v>
      </c>
      <c r="G178" s="19" t="s">
        <v>1058</v>
      </c>
      <c r="H178" s="19" t="s">
        <v>1123</v>
      </c>
      <c r="I178" s="19" t="s">
        <v>1296</v>
      </c>
      <c r="J178" s="19" t="s">
        <v>1297</v>
      </c>
      <c r="K178" s="19">
        <v>40.831707</v>
      </c>
      <c r="L178" s="19">
        <v>14.2288138</v>
      </c>
      <c r="M178" s="29" t="str">
        <f t="shared" si="9"/>
        <v>https://www.google.com/maps/search/Chalet%20Ciro%201952%2C%20Naples%2C%20Italy</v>
      </c>
      <c r="N178" s="24" t="s">
        <v>1188</v>
      </c>
      <c r="O178" s="19" t="s">
        <v>197</v>
      </c>
      <c r="P178" s="25" t="str">
        <f t="shared" si="1"/>
        <v>Naples</v>
      </c>
      <c r="Q178" s="25" t="str">
        <f t="shared" si="2"/>
        <v>Relais sul Mare Boutique Hotel, Naples, Italy</v>
      </c>
      <c r="R178" s="25" t="str">
        <f>VLOOKUP(A178,'Travel Times'!$A$1:$E$1000,4,0)</f>
        <v>39 mins</v>
      </c>
      <c r="S178" s="25" t="str">
        <f>VLOOKUP(A178,'Travel Times'!$A$1:$E$1000,5,0)</f>
        <v>12 mins</v>
      </c>
    </row>
    <row r="179">
      <c r="A179" s="19" t="s">
        <v>1298</v>
      </c>
      <c r="B179" s="19" t="s">
        <v>255</v>
      </c>
      <c r="C179" s="19" t="s">
        <v>1119</v>
      </c>
      <c r="D179" s="19" t="s">
        <v>222</v>
      </c>
      <c r="E179" s="19" t="s">
        <v>1299</v>
      </c>
      <c r="F179" s="19" t="s">
        <v>1300</v>
      </c>
      <c r="G179" s="19" t="s">
        <v>1058</v>
      </c>
      <c r="H179" s="19" t="s">
        <v>1123</v>
      </c>
      <c r="I179" s="19" t="s">
        <v>1301</v>
      </c>
      <c r="J179" s="19" t="s">
        <v>1302</v>
      </c>
      <c r="K179" s="19">
        <v>40.8508104</v>
      </c>
      <c r="L179" s="19">
        <v>14.2565817</v>
      </c>
      <c r="M179" s="29" t="str">
        <f t="shared" si="9"/>
        <v>https://www.google.com/maps/search/Gelateria%20Valenti%2C%20Naples%2C%20Italy</v>
      </c>
      <c r="N179" s="24" t="s">
        <v>1188</v>
      </c>
      <c r="O179" s="19" t="s">
        <v>197</v>
      </c>
      <c r="P179" s="25" t="str">
        <f t="shared" si="1"/>
        <v>Naples</v>
      </c>
      <c r="Q179" s="25" t="str">
        <f t="shared" si="2"/>
        <v>Relais sul Mare Boutique Hotel, Naples, Italy</v>
      </c>
      <c r="R179" s="25" t="str">
        <f>VLOOKUP(A179,'Travel Times'!$A$1:$E$1000,4,0)</f>
        <v>40 mins</v>
      </c>
      <c r="S179" s="25" t="str">
        <f>VLOOKUP(A179,'Travel Times'!$A$1:$E$1000,5,0)</f>
        <v>24 mins</v>
      </c>
    </row>
    <row r="180">
      <c r="A180" s="19" t="s">
        <v>1303</v>
      </c>
      <c r="B180" s="19" t="s">
        <v>255</v>
      </c>
      <c r="C180" s="19" t="s">
        <v>1119</v>
      </c>
      <c r="D180" s="19" t="s">
        <v>222</v>
      </c>
      <c r="E180" s="19" t="s">
        <v>1304</v>
      </c>
      <c r="F180" s="19" t="s">
        <v>1305</v>
      </c>
      <c r="G180" s="19" t="s">
        <v>1058</v>
      </c>
      <c r="H180" s="19" t="s">
        <v>1123</v>
      </c>
      <c r="I180" s="19" t="s">
        <v>1306</v>
      </c>
      <c r="J180" s="19" t="s">
        <v>1307</v>
      </c>
      <c r="K180" s="19">
        <v>40.8271202</v>
      </c>
      <c r="L180" s="19">
        <v>14.2051601</v>
      </c>
      <c r="M180" s="29" t="str">
        <f t="shared" si="9"/>
        <v>https://www.google.com/maps/search/Fantasia%20Gelati%2C%20Naples%2C%20Italy</v>
      </c>
      <c r="N180" s="24" t="s">
        <v>1188</v>
      </c>
      <c r="O180" s="19" t="s">
        <v>197</v>
      </c>
      <c r="P180" s="25" t="str">
        <f t="shared" si="1"/>
        <v>Naples</v>
      </c>
      <c r="Q180" s="25" t="str">
        <f t="shared" si="2"/>
        <v>Relais sul Mare Boutique Hotel, Naples, Italy</v>
      </c>
      <c r="R180" s="25" t="str">
        <f>VLOOKUP(A180,'Travel Times'!$A$1:$E$1000,4,0)</f>
        <v>58 mins</v>
      </c>
      <c r="S180" s="25" t="str">
        <f>VLOOKUP(A180,'Travel Times'!$A$1:$E$1000,5,0)</f>
        <v>14 mins</v>
      </c>
    </row>
    <row r="181">
      <c r="A181" s="19" t="s">
        <v>1308</v>
      </c>
      <c r="B181" s="19" t="s">
        <v>255</v>
      </c>
      <c r="C181" s="19" t="s">
        <v>1309</v>
      </c>
      <c r="D181" s="19" t="s">
        <v>1310</v>
      </c>
      <c r="E181" s="19" t="s">
        <v>1311</v>
      </c>
      <c r="F181" s="19" t="s">
        <v>1312</v>
      </c>
      <c r="G181" s="19" t="s">
        <v>1058</v>
      </c>
      <c r="H181" s="19" t="s">
        <v>1237</v>
      </c>
      <c r="I181" s="19" t="s">
        <v>1313</v>
      </c>
      <c r="J181" s="19" t="s">
        <v>1314</v>
      </c>
      <c r="K181" s="19">
        <v>40.8898201</v>
      </c>
      <c r="L181" s="19">
        <v>14.263994</v>
      </c>
      <c r="M181" s="29" t="str">
        <f t="shared" si="9"/>
        <v>https://www.google.com/maps/search/La%20Prosciutteria%2C%20Naples%2C%20Italy</v>
      </c>
      <c r="N181" s="24" t="s">
        <v>1188</v>
      </c>
      <c r="O181" s="19" t="s">
        <v>197</v>
      </c>
      <c r="P181" s="25" t="str">
        <f t="shared" si="1"/>
        <v>Naples</v>
      </c>
      <c r="Q181" s="25" t="str">
        <f t="shared" si="2"/>
        <v>Relais sul Mare Boutique Hotel, Naples, Italy</v>
      </c>
      <c r="R181" s="25" t="str">
        <f>VLOOKUP(A181,'Travel Times'!$A$1:$E$1000,4,0)</f>
        <v>1 hour 54 mins</v>
      </c>
      <c r="S181" s="25" t="str">
        <f>VLOOKUP(A181,'Travel Times'!$A$1:$E$1000,5,0)</f>
        <v>22 mins</v>
      </c>
    </row>
    <row r="182">
      <c r="A182" s="19" t="s">
        <v>1315</v>
      </c>
      <c r="B182" s="19" t="s">
        <v>255</v>
      </c>
      <c r="C182" s="19" t="s">
        <v>246</v>
      </c>
      <c r="D182" s="19" t="s">
        <v>247</v>
      </c>
      <c r="E182" s="19" t="s">
        <v>1316</v>
      </c>
      <c r="F182" s="19" t="s">
        <v>1317</v>
      </c>
      <c r="G182" s="19" t="s">
        <v>1058</v>
      </c>
      <c r="H182" s="19" t="s">
        <v>1225</v>
      </c>
      <c r="I182" s="19" t="s">
        <v>1318</v>
      </c>
      <c r="J182" s="19" t="s">
        <v>1319</v>
      </c>
      <c r="K182" s="19">
        <v>40.8445035</v>
      </c>
      <c r="L182" s="19">
        <v>14.2488753</v>
      </c>
      <c r="M182" s="29" t="str">
        <f t="shared" si="9"/>
        <v>https://www.google.com/maps/search/Ceraldi%20Caff%C3%A8%2C%20Naples%2C%20Italy</v>
      </c>
      <c r="N182" s="24" t="s">
        <v>1188</v>
      </c>
      <c r="O182" s="19" t="s">
        <v>197</v>
      </c>
      <c r="P182" s="25" t="str">
        <f t="shared" si="1"/>
        <v>Naples</v>
      </c>
      <c r="Q182" s="25" t="str">
        <f t="shared" si="2"/>
        <v>Relais sul Mare Boutique Hotel, Naples, Italy</v>
      </c>
      <c r="R182" s="25" t="str">
        <f>VLOOKUP(A182,'Travel Times'!$A$1:$E$1000,4,0)</f>
        <v>24 mins</v>
      </c>
      <c r="S182" s="25" t="str">
        <f>VLOOKUP(A182,'Travel Times'!$A$1:$E$1000,5,0)</f>
        <v>11 mins</v>
      </c>
    </row>
    <row r="183">
      <c r="A183" s="19" t="s">
        <v>1320</v>
      </c>
      <c r="B183" s="19" t="s">
        <v>255</v>
      </c>
      <c r="C183" s="19" t="s">
        <v>1104</v>
      </c>
      <c r="D183" s="19" t="s">
        <v>270</v>
      </c>
      <c r="E183" s="19" t="s">
        <v>1321</v>
      </c>
      <c r="F183" s="19" t="s">
        <v>1322</v>
      </c>
      <c r="G183" s="19" t="s">
        <v>1058</v>
      </c>
      <c r="H183" s="19" t="s">
        <v>1243</v>
      </c>
      <c r="I183" s="19" t="s">
        <v>567</v>
      </c>
      <c r="J183" s="19" t="s">
        <v>568</v>
      </c>
      <c r="K183" s="19">
        <v>40.8517746</v>
      </c>
      <c r="L183" s="19">
        <v>14.2681244</v>
      </c>
      <c r="M183" s="29" t="str">
        <f t="shared" si="9"/>
        <v>https://www.google.com/maps/search/Red%20Wine%2C%20Naples%2C%20Italy</v>
      </c>
      <c r="N183" s="24" t="s">
        <v>1188</v>
      </c>
      <c r="O183" s="19" t="s">
        <v>197</v>
      </c>
      <c r="P183" s="25" t="str">
        <f t="shared" si="1"/>
        <v>Naples</v>
      </c>
      <c r="Q183" s="25" t="str">
        <f t="shared" si="2"/>
        <v>Relais sul Mare Boutique Hotel, Naples, Italy</v>
      </c>
      <c r="R183" s="25" t="str">
        <f>VLOOKUP(A183,'Travel Times'!$A$1:$E$1000,4,0)</f>
        <v>#ERROR!</v>
      </c>
      <c r="S183" s="25" t="str">
        <f>VLOOKUP(A183,'Travel Times'!$A$1:$E$1000,5,0)</f>
        <v>#ERROR!</v>
      </c>
    </row>
    <row r="184">
      <c r="A184" s="19" t="s">
        <v>1323</v>
      </c>
      <c r="B184" s="19" t="s">
        <v>255</v>
      </c>
      <c r="C184" s="19" t="s">
        <v>1088</v>
      </c>
      <c r="D184" s="19" t="s">
        <v>1096</v>
      </c>
      <c r="E184" s="19" t="s">
        <v>1324</v>
      </c>
      <c r="F184" s="19" t="s">
        <v>1325</v>
      </c>
      <c r="G184" s="19" t="s">
        <v>1058</v>
      </c>
      <c r="H184" s="19" t="s">
        <v>1326</v>
      </c>
      <c r="I184" s="19" t="s">
        <v>1327</v>
      </c>
      <c r="J184" s="19" t="s">
        <v>1328</v>
      </c>
      <c r="K184" s="19">
        <v>40.8326246</v>
      </c>
      <c r="L184" s="19">
        <v>14.2488009</v>
      </c>
      <c r="M184" s="29" t="str">
        <f t="shared" si="9"/>
        <v>https://www.google.com/maps/search/Grand%20Tour%20-%20Cocktail%20Boutique%2C%20Naples%2C%20Italy</v>
      </c>
      <c r="N184" s="24" t="s">
        <v>1188</v>
      </c>
      <c r="O184" s="19" t="s">
        <v>197</v>
      </c>
      <c r="P184" s="25" t="str">
        <f t="shared" si="1"/>
        <v>Naples</v>
      </c>
      <c r="Q184" s="25" t="str">
        <f t="shared" si="2"/>
        <v>Relais sul Mare Boutique Hotel, Naples, Italy</v>
      </c>
      <c r="R184" s="25" t="str">
        <f>VLOOKUP(A184,'Travel Times'!$A$1:$E$1000,4,0)</f>
        <v>5 mins</v>
      </c>
      <c r="S184" s="25" t="str">
        <f>VLOOKUP(A184,'Travel Times'!$A$1:$E$1000,5,0)</f>
        <v>2 mins</v>
      </c>
    </row>
    <row r="185">
      <c r="A185" s="19" t="s">
        <v>1329</v>
      </c>
      <c r="B185" s="19" t="s">
        <v>255</v>
      </c>
      <c r="C185" s="19" t="s">
        <v>624</v>
      </c>
      <c r="D185" s="19" t="s">
        <v>1330</v>
      </c>
      <c r="E185" s="19" t="s">
        <v>1331</v>
      </c>
      <c r="F185" s="19" t="s">
        <v>1332</v>
      </c>
      <c r="G185" s="19" t="s">
        <v>1058</v>
      </c>
      <c r="H185" s="19" t="s">
        <v>1123</v>
      </c>
      <c r="I185" s="19" t="s">
        <v>1333</v>
      </c>
      <c r="J185" s="19" t="s">
        <v>1334</v>
      </c>
      <c r="K185" s="19">
        <v>40.8491576</v>
      </c>
      <c r="L185" s="19">
        <v>14.2574492</v>
      </c>
      <c r="M185" s="29" t="str">
        <f t="shared" si="9"/>
        <v>https://www.google.com/maps/search/Buona%20Merenda%2C%20Naples%2C%20Italy</v>
      </c>
      <c r="N185" s="24" t="s">
        <v>1188</v>
      </c>
      <c r="O185" s="19" t="s">
        <v>197</v>
      </c>
      <c r="P185" s="25" t="str">
        <f t="shared" si="1"/>
        <v>Naples</v>
      </c>
      <c r="Q185" s="25" t="str">
        <f t="shared" si="2"/>
        <v>Relais sul Mare Boutique Hotel, Naples, Italy</v>
      </c>
      <c r="R185" s="25" t="str">
        <f>VLOOKUP(A185,'Travel Times'!$A$1:$E$1000,4,0)</f>
        <v>37 mins</v>
      </c>
      <c r="S185" s="25" t="str">
        <f>VLOOKUP(A185,'Travel Times'!$A$1:$E$1000,5,0)</f>
        <v>12 mins</v>
      </c>
    </row>
    <row r="186">
      <c r="A186" s="19" t="s">
        <v>1335</v>
      </c>
      <c r="B186" s="19" t="s">
        <v>255</v>
      </c>
      <c r="C186" s="19" t="s">
        <v>624</v>
      </c>
      <c r="D186" s="19" t="s">
        <v>1330</v>
      </c>
      <c r="E186" s="19" t="s">
        <v>1336</v>
      </c>
      <c r="F186" s="19" t="s">
        <v>1337</v>
      </c>
      <c r="G186" s="19" t="s">
        <v>1058</v>
      </c>
      <c r="H186" s="19" t="s">
        <v>1338</v>
      </c>
      <c r="I186" s="19" t="s">
        <v>1339</v>
      </c>
      <c r="J186" s="19" t="s">
        <v>1340</v>
      </c>
      <c r="K186" s="19">
        <v>40.8261269</v>
      </c>
      <c r="L186" s="19">
        <v>14.2203751</v>
      </c>
      <c r="M186" s="29" t="str">
        <f t="shared" si="9"/>
        <v>https://www.google.com/maps/search/Chalet%20Delle%20Palme%2C%20Naples%2C%20Italy</v>
      </c>
      <c r="N186" s="24" t="s">
        <v>1188</v>
      </c>
      <c r="O186" s="19" t="s">
        <v>197</v>
      </c>
      <c r="P186" s="25" t="str">
        <f t="shared" si="1"/>
        <v>Naples</v>
      </c>
      <c r="Q186" s="25" t="str">
        <f t="shared" si="2"/>
        <v>Relais sul Mare Boutique Hotel, Naples, Italy</v>
      </c>
      <c r="R186" s="25" t="str">
        <f>VLOOKUP(A186,'Travel Times'!$A$1:$E$1000,4,0)</f>
        <v>40 mins</v>
      </c>
      <c r="S186" s="25" t="str">
        <f>VLOOKUP(A186,'Travel Times'!$A$1:$E$1000,5,0)</f>
        <v>13 mins</v>
      </c>
    </row>
    <row r="187">
      <c r="A187" s="19" t="s">
        <v>1341</v>
      </c>
      <c r="B187" s="19" t="s">
        <v>255</v>
      </c>
      <c r="C187" s="19" t="s">
        <v>1342</v>
      </c>
      <c r="D187" s="19" t="s">
        <v>1206</v>
      </c>
      <c r="E187" s="19" t="s">
        <v>1343</v>
      </c>
      <c r="F187" s="19" t="s">
        <v>1344</v>
      </c>
      <c r="G187" s="19" t="s">
        <v>1058</v>
      </c>
      <c r="H187" s="19" t="s">
        <v>1145</v>
      </c>
      <c r="I187" s="19" t="s">
        <v>1345</v>
      </c>
      <c r="J187" s="19" t="s">
        <v>1346</v>
      </c>
      <c r="K187" s="19">
        <v>40.8494919</v>
      </c>
      <c r="L187" s="19">
        <v>14.2508104</v>
      </c>
      <c r="M187" s="29" t="str">
        <f t="shared" si="9"/>
        <v>https://www.google.com/maps/search/Libreria%20Berisio%2C%20Naples%2C%20Italy</v>
      </c>
      <c r="N187" s="24" t="s">
        <v>1188</v>
      </c>
      <c r="O187" s="19" t="s">
        <v>197</v>
      </c>
      <c r="P187" s="25" t="str">
        <f t="shared" si="1"/>
        <v>Naples</v>
      </c>
      <c r="Q187" s="25" t="str">
        <f t="shared" si="2"/>
        <v>Relais sul Mare Boutique Hotel, Naples, Italy</v>
      </c>
      <c r="R187" s="25" t="str">
        <f>VLOOKUP(A187,'Travel Times'!$A$1:$E$1000,4,0)</f>
        <v>33 mins</v>
      </c>
      <c r="S187" s="25" t="str">
        <f>VLOOKUP(A187,'Travel Times'!$A$1:$E$1000,5,0)</f>
        <v>11 mins</v>
      </c>
    </row>
    <row r="188">
      <c r="A188" s="19" t="s">
        <v>1347</v>
      </c>
      <c r="B188" s="19" t="s">
        <v>255</v>
      </c>
      <c r="C188" s="19" t="s">
        <v>1348</v>
      </c>
      <c r="D188" s="19" t="s">
        <v>1349</v>
      </c>
      <c r="E188" s="19" t="s">
        <v>1350</v>
      </c>
      <c r="F188" s="19" t="s">
        <v>1351</v>
      </c>
      <c r="G188" s="19" t="s">
        <v>1058</v>
      </c>
      <c r="H188" s="19" t="s">
        <v>1352</v>
      </c>
      <c r="I188" s="19" t="s">
        <v>1353</v>
      </c>
      <c r="J188" s="19" t="s">
        <v>1354</v>
      </c>
      <c r="K188" s="19">
        <v>40.8341841</v>
      </c>
      <c r="L188" s="19">
        <v>14.2363668</v>
      </c>
      <c r="M188" s="29" t="str">
        <f t="shared" si="9"/>
        <v>https://www.google.com/maps/search/Bancarelle%20di%20San%20Pasquale%2C%20Naples%2C%20Italy</v>
      </c>
      <c r="N188" s="24" t="s">
        <v>1188</v>
      </c>
      <c r="O188" s="19" t="s">
        <v>197</v>
      </c>
      <c r="P188" s="25" t="str">
        <f t="shared" si="1"/>
        <v>Naples</v>
      </c>
      <c r="Q188" s="25" t="str">
        <f t="shared" si="2"/>
        <v>Relais sul Mare Boutique Hotel, Naples, Italy</v>
      </c>
      <c r="R188" s="25" t="str">
        <f>VLOOKUP(A188,'Travel Times'!$A$1:$E$1000,4,0)</f>
        <v>21 mins</v>
      </c>
      <c r="S188" s="25" t="str">
        <f>VLOOKUP(A188,'Travel Times'!$A$1:$E$1000,5,0)</f>
        <v>6 mins</v>
      </c>
    </row>
    <row r="189">
      <c r="A189" s="19" t="s">
        <v>597</v>
      </c>
      <c r="B189" s="19" t="s">
        <v>255</v>
      </c>
      <c r="C189" s="19" t="s">
        <v>302</v>
      </c>
      <c r="D189" s="19" t="s">
        <v>291</v>
      </c>
      <c r="E189" s="19" t="s">
        <v>1355</v>
      </c>
      <c r="F189" s="19" t="s">
        <v>1356</v>
      </c>
      <c r="G189" s="19" t="s">
        <v>1357</v>
      </c>
      <c r="H189" s="19" t="s">
        <v>1358</v>
      </c>
      <c r="I189" s="19" t="s">
        <v>602</v>
      </c>
      <c r="J189" s="19" t="s">
        <v>603</v>
      </c>
      <c r="K189" s="19">
        <v>40.8483036</v>
      </c>
      <c r="L189" s="19">
        <v>14.254577</v>
      </c>
      <c r="M189" s="29" t="str">
        <f t="shared" si="9"/>
        <v>https://www.google.com/maps/search/Palazzo%20Petrucci%2C%20Naples%2C%20Italy</v>
      </c>
      <c r="N189" s="24" t="s">
        <v>1359</v>
      </c>
      <c r="O189" s="19" t="s">
        <v>197</v>
      </c>
      <c r="P189" s="25" t="str">
        <f t="shared" si="1"/>
        <v>Naples</v>
      </c>
      <c r="Q189" s="25" t="str">
        <f t="shared" si="2"/>
        <v>Relais sul Mare Boutique Hotel, Naples, Italy</v>
      </c>
      <c r="R189" s="25" t="str">
        <f>VLOOKUP(A189,'Travel Times'!$A$1:$E$1000,4,0)</f>
        <v>34 mins</v>
      </c>
      <c r="S189" s="25" t="str">
        <f>VLOOKUP(A189,'Travel Times'!$A$1:$E$1000,5,0)</f>
        <v>9 mins</v>
      </c>
    </row>
    <row r="190">
      <c r="A190" s="19" t="s">
        <v>1360</v>
      </c>
      <c r="B190" s="19" t="s">
        <v>255</v>
      </c>
      <c r="C190" s="19" t="s">
        <v>302</v>
      </c>
      <c r="D190" s="19" t="s">
        <v>291</v>
      </c>
      <c r="E190" s="19" t="s">
        <v>1361</v>
      </c>
      <c r="F190" s="19" t="s">
        <v>1362</v>
      </c>
      <c r="G190" s="19" t="s">
        <v>1363</v>
      </c>
      <c r="H190" s="19" t="s">
        <v>1364</v>
      </c>
      <c r="I190" s="19" t="s">
        <v>1365</v>
      </c>
      <c r="J190" s="19" t="s">
        <v>1366</v>
      </c>
      <c r="K190" s="19">
        <v>40.8233528</v>
      </c>
      <c r="L190" s="19">
        <v>14.217625</v>
      </c>
      <c r="M190" s="29" t="str">
        <f t="shared" si="9"/>
        <v>https://www.google.com/maps/search/Ristorante%20Il%20Miracolo%20dei%20Pesci%2C%20Naples%2C%20Italy</v>
      </c>
      <c r="N190" s="24" t="s">
        <v>1359</v>
      </c>
      <c r="O190" s="19" t="s">
        <v>197</v>
      </c>
      <c r="P190" s="25" t="str">
        <f t="shared" si="1"/>
        <v>Naples</v>
      </c>
      <c r="Q190" s="25" t="str">
        <f t="shared" si="2"/>
        <v>Relais sul Mare Boutique Hotel, Naples, Italy</v>
      </c>
      <c r="R190" s="25" t="str">
        <f>VLOOKUP(A190,'Travel Times'!$A$1:$E$1000,4,0)</f>
        <v>47 mins</v>
      </c>
      <c r="S190" s="25" t="str">
        <f>VLOOKUP(A190,'Travel Times'!$A$1:$E$1000,5,0)</f>
        <v>12 mins</v>
      </c>
    </row>
    <row r="191">
      <c r="A191" s="19" t="s">
        <v>1367</v>
      </c>
      <c r="B191" s="19" t="s">
        <v>255</v>
      </c>
      <c r="C191" s="19" t="s">
        <v>302</v>
      </c>
      <c r="D191" s="19" t="s">
        <v>291</v>
      </c>
      <c r="E191" s="19" t="s">
        <v>1368</v>
      </c>
      <c r="F191" s="19" t="s">
        <v>1369</v>
      </c>
      <c r="G191" s="19" t="s">
        <v>1370</v>
      </c>
      <c r="H191" s="19" t="s">
        <v>1371</v>
      </c>
      <c r="I191" s="19" t="s">
        <v>1372</v>
      </c>
      <c r="J191" s="19" t="s">
        <v>1373</v>
      </c>
      <c r="K191" s="19">
        <v>40.8126189</v>
      </c>
      <c r="L191" s="19">
        <v>14.2073731</v>
      </c>
      <c r="M191" s="29" t="str">
        <f t="shared" si="9"/>
        <v>https://www.google.com/maps/search/Ristorante%20Reginella%2C%20Naples%2C%20Italy</v>
      </c>
      <c r="N191" s="24" t="s">
        <v>1359</v>
      </c>
      <c r="O191" s="19" t="s">
        <v>197</v>
      </c>
      <c r="P191" s="25" t="str">
        <f t="shared" si="1"/>
        <v>Naples</v>
      </c>
      <c r="Q191" s="25" t="str">
        <f t="shared" si="2"/>
        <v>Relais sul Mare Boutique Hotel, Naples, Italy</v>
      </c>
      <c r="R191" s="25" t="str">
        <f>VLOOKUP(A191,'Travel Times'!$A$1:$E$1000,4,0)</f>
        <v>1 hour 10 mins</v>
      </c>
      <c r="S191" s="25" t="str">
        <f>VLOOKUP(A191,'Travel Times'!$A$1:$E$1000,5,0)</f>
        <v>22 mins</v>
      </c>
    </row>
    <row r="192">
      <c r="A192" s="19" t="s">
        <v>1374</v>
      </c>
      <c r="B192" s="19" t="s">
        <v>255</v>
      </c>
      <c r="C192" s="19" t="s">
        <v>302</v>
      </c>
      <c r="D192" s="19" t="s">
        <v>291</v>
      </c>
      <c r="E192" s="19" t="s">
        <v>1375</v>
      </c>
      <c r="F192" s="19" t="s">
        <v>1376</v>
      </c>
      <c r="G192" s="19" t="s">
        <v>1377</v>
      </c>
      <c r="H192" s="19" t="s">
        <v>1378</v>
      </c>
      <c r="I192" s="19" t="s">
        <v>1379</v>
      </c>
      <c r="J192" s="19" t="s">
        <v>1380</v>
      </c>
      <c r="K192" s="19">
        <v>40.8278216</v>
      </c>
      <c r="L192" s="19">
        <v>14.2485845</v>
      </c>
      <c r="M192" s="29" t="str">
        <f t="shared" si="9"/>
        <v>https://www.google.com/maps/search/La%20Scialuppa%2C%20Naples%2C%20Italy</v>
      </c>
      <c r="N192" s="24" t="s">
        <v>1359</v>
      </c>
      <c r="O192" s="19" t="s">
        <v>197</v>
      </c>
      <c r="P192" s="25" t="str">
        <f t="shared" si="1"/>
        <v>Naples</v>
      </c>
      <c r="Q192" s="25" t="str">
        <f t="shared" si="2"/>
        <v>Relais sul Mare Boutique Hotel, Naples, Italy</v>
      </c>
      <c r="R192" s="25" t="str">
        <f>VLOOKUP(A192,'Travel Times'!$A$1:$E$1000,4,0)</f>
        <v>7 mins</v>
      </c>
      <c r="S192" s="25" t="str">
        <f>VLOOKUP(A192,'Travel Times'!$A$1:$E$1000,5,0)</f>
        <v>2 mins</v>
      </c>
    </row>
    <row r="193">
      <c r="A193" s="19" t="s">
        <v>857</v>
      </c>
      <c r="B193" s="19" t="s">
        <v>266</v>
      </c>
      <c r="C193" s="19" t="s">
        <v>1381</v>
      </c>
      <c r="D193" s="19" t="s">
        <v>470</v>
      </c>
      <c r="E193" s="19" t="s">
        <v>1382</v>
      </c>
      <c r="F193" s="19" t="s">
        <v>1383</v>
      </c>
      <c r="G193" s="19" t="s">
        <v>1384</v>
      </c>
      <c r="H193" s="19" t="s">
        <v>1385</v>
      </c>
      <c r="I193" s="19" t="s">
        <v>861</v>
      </c>
      <c r="J193" s="19" t="s">
        <v>862</v>
      </c>
      <c r="K193" s="19">
        <v>40.6490843</v>
      </c>
      <c r="L193" s="19">
        <v>14.6113693</v>
      </c>
      <c r="M193" s="29" t="str">
        <f t="shared" ref="M193:M210" si="10">HYPERLINK("https://www.google.com/maps/search/"&amp;ENCODEURL(A193&amp;", Ravello, Italy"))</f>
        <v>https://www.google.com/maps/search/Villa%20Rufolo%2C%20Ravello%2C%20Italy</v>
      </c>
      <c r="N193" s="24" t="s">
        <v>1386</v>
      </c>
      <c r="O193" s="19" t="s">
        <v>1387</v>
      </c>
      <c r="P193" s="25" t="str">
        <f t="shared" si="1"/>
        <v>Ravello</v>
      </c>
      <c r="Q193" s="25" t="str">
        <f t="shared" si="2"/>
        <v>Hotel Rufolo, Ravello, Italy</v>
      </c>
      <c r="R193" s="25" t="str">
        <f>VLOOKUP(A193,'Travel Times'!$A$1:$E$1000,4,0)</f>
        <v>2 mins</v>
      </c>
      <c r="S193" s="25" t="str">
        <f>VLOOKUP(A193,'Travel Times'!$A$1:$E$1000,5,0)</f>
        <v>1 min</v>
      </c>
    </row>
    <row r="194">
      <c r="A194" s="19" t="s">
        <v>1388</v>
      </c>
      <c r="B194" s="19" t="s">
        <v>266</v>
      </c>
      <c r="C194" s="19" t="s">
        <v>1381</v>
      </c>
      <c r="D194" s="19" t="s">
        <v>1164</v>
      </c>
      <c r="E194" s="19" t="s">
        <v>1389</v>
      </c>
      <c r="F194" s="19" t="s">
        <v>1390</v>
      </c>
      <c r="G194" s="19" t="s">
        <v>1391</v>
      </c>
      <c r="H194" s="19" t="s">
        <v>1392</v>
      </c>
      <c r="I194" s="19" t="s">
        <v>868</v>
      </c>
      <c r="J194" s="19" t="s">
        <v>869</v>
      </c>
      <c r="K194" s="19">
        <v>40.644269</v>
      </c>
      <c r="L194" s="19">
        <v>14.611034</v>
      </c>
      <c r="M194" s="29" t="str">
        <f t="shared" si="10"/>
        <v>https://www.google.com/maps/search/Villa%20Cimbrone%20%26%20Terrace%20of%20Infinity%2C%20Ravello%2C%20Italy</v>
      </c>
      <c r="N194" s="24" t="s">
        <v>1386</v>
      </c>
      <c r="O194" s="19" t="s">
        <v>1387</v>
      </c>
      <c r="P194" s="25" t="str">
        <f t="shared" si="1"/>
        <v>Ravello</v>
      </c>
      <c r="Q194" s="25" t="str">
        <f t="shared" si="2"/>
        <v>Hotel Rufolo, Ravello, Italy</v>
      </c>
      <c r="R194" s="25" t="str">
        <f>VLOOKUP(A194,'Travel Times'!$A$1:$E$1000,4,0)</f>
        <v>9 mins</v>
      </c>
      <c r="S194" s="25" t="str">
        <f>VLOOKUP(A194,'Travel Times'!$A$1:$E$1000,5,0)</f>
        <v>1 min</v>
      </c>
    </row>
    <row r="195">
      <c r="A195" s="19" t="s">
        <v>1393</v>
      </c>
      <c r="B195" s="19" t="s">
        <v>266</v>
      </c>
      <c r="C195" s="19" t="s">
        <v>586</v>
      </c>
      <c r="D195" s="19" t="s">
        <v>571</v>
      </c>
      <c r="E195" s="19" t="s">
        <v>1394</v>
      </c>
      <c r="F195" s="19" t="s">
        <v>1395</v>
      </c>
      <c r="G195" s="19" t="s">
        <v>1396</v>
      </c>
      <c r="H195" s="19" t="s">
        <v>1397</v>
      </c>
      <c r="I195" s="19" t="s">
        <v>874</v>
      </c>
      <c r="J195" s="19" t="s">
        <v>476</v>
      </c>
      <c r="K195" s="19">
        <v>40.6491825</v>
      </c>
      <c r="L195" s="19">
        <v>14.6116481</v>
      </c>
      <c r="M195" s="29" t="str">
        <f t="shared" si="10"/>
        <v>https://www.google.com/maps/search/Piazza%20Duomo%2C%20Ravello%2C%20Italy</v>
      </c>
      <c r="N195" s="24" t="s">
        <v>1386</v>
      </c>
      <c r="O195" s="19" t="s">
        <v>1387</v>
      </c>
      <c r="P195" s="25" t="str">
        <f t="shared" si="1"/>
        <v>Ravello</v>
      </c>
      <c r="Q195" s="25" t="str">
        <f t="shared" si="2"/>
        <v>Hotel Rufolo, Ravello, Italy</v>
      </c>
      <c r="R195" s="25" t="str">
        <f>VLOOKUP(A195,'Travel Times'!$A$1:$E$1000,4,0)</f>
        <v>2 mins</v>
      </c>
      <c r="S195" s="25" t="str">
        <f>VLOOKUP(A195,'Travel Times'!$A$1:$E$1000,5,0)</f>
        <v>1 min</v>
      </c>
    </row>
    <row r="196">
      <c r="A196" s="19" t="s">
        <v>1398</v>
      </c>
      <c r="B196" s="19" t="s">
        <v>266</v>
      </c>
      <c r="C196" s="19" t="s">
        <v>1399</v>
      </c>
      <c r="D196" s="19" t="s">
        <v>571</v>
      </c>
      <c r="E196" s="19" t="s">
        <v>1400</v>
      </c>
      <c r="F196" s="19" t="s">
        <v>1401</v>
      </c>
      <c r="G196" s="19" t="s">
        <v>766</v>
      </c>
      <c r="H196" s="19" t="s">
        <v>1402</v>
      </c>
      <c r="I196" s="19" t="s">
        <v>874</v>
      </c>
      <c r="J196" s="19" t="s">
        <v>476</v>
      </c>
      <c r="K196" s="19">
        <v>40.6491825</v>
      </c>
      <c r="L196" s="19">
        <v>14.6116481</v>
      </c>
      <c r="M196" s="29" t="str">
        <f t="shared" si="10"/>
        <v>https://www.google.com/maps/search/Duomo%20%26%20Museum%2C%20Ravello%2C%20Italy</v>
      </c>
      <c r="N196" s="24" t="s">
        <v>1386</v>
      </c>
      <c r="O196" s="19" t="s">
        <v>1387</v>
      </c>
      <c r="P196" s="25" t="str">
        <f t="shared" si="1"/>
        <v>Ravello</v>
      </c>
      <c r="Q196" s="25" t="str">
        <f t="shared" si="2"/>
        <v>Hotel Rufolo, Ravello, Italy</v>
      </c>
      <c r="R196" s="25" t="str">
        <f>VLOOKUP(A196,'Travel Times'!$A$1:$E$1000,4,0)</f>
        <v>2 mins</v>
      </c>
      <c r="S196" s="25" t="str">
        <f>VLOOKUP(A196,'Travel Times'!$A$1:$E$1000,5,0)</f>
        <v>1 min</v>
      </c>
    </row>
    <row r="197">
      <c r="A197" s="19" t="s">
        <v>1403</v>
      </c>
      <c r="B197" s="19" t="s">
        <v>266</v>
      </c>
      <c r="C197" s="19" t="s">
        <v>1404</v>
      </c>
      <c r="D197" s="19" t="s">
        <v>1164</v>
      </c>
      <c r="E197" s="19" t="s">
        <v>1405</v>
      </c>
      <c r="F197" s="19" t="s">
        <v>1406</v>
      </c>
      <c r="G197" s="19" t="s">
        <v>1396</v>
      </c>
      <c r="H197" s="19" t="s">
        <v>1139</v>
      </c>
      <c r="I197" s="19" t="s">
        <v>1407</v>
      </c>
      <c r="J197" s="19" t="s">
        <v>1408</v>
      </c>
      <c r="K197" s="19">
        <v>40.6504711</v>
      </c>
      <c r="L197" s="19">
        <v>14.6130187</v>
      </c>
      <c r="M197" s="29" t="str">
        <f t="shared" si="10"/>
        <v>https://www.google.com/maps/search/Belvedere%20Principessa%20di%20Piemonte%2C%20Ravello%2C%20Italy</v>
      </c>
      <c r="N197" s="24" t="s">
        <v>1386</v>
      </c>
      <c r="O197" s="19" t="s">
        <v>1387</v>
      </c>
      <c r="P197" s="25" t="str">
        <f t="shared" si="1"/>
        <v>Ravello</v>
      </c>
      <c r="Q197" s="25" t="str">
        <f t="shared" si="2"/>
        <v>Hotel Rufolo, Ravello, Italy</v>
      </c>
      <c r="R197" s="25" t="str">
        <f>VLOOKUP(A197,'Travel Times'!$A$1:$E$1000,4,0)</f>
        <v>7 mins</v>
      </c>
      <c r="S197" s="25" t="str">
        <f>VLOOKUP(A197,'Travel Times'!$A$1:$E$1000,5,0)</f>
        <v>2 mins</v>
      </c>
    </row>
    <row r="198">
      <c r="A198" s="19" t="s">
        <v>1409</v>
      </c>
      <c r="B198" s="19" t="s">
        <v>266</v>
      </c>
      <c r="C198" s="19" t="s">
        <v>1410</v>
      </c>
      <c r="D198" s="19" t="s">
        <v>390</v>
      </c>
      <c r="E198" s="19" t="s">
        <v>1411</v>
      </c>
      <c r="F198" s="19" t="s">
        <v>1412</v>
      </c>
      <c r="G198" s="19" t="s">
        <v>1167</v>
      </c>
      <c r="H198" s="19" t="s">
        <v>1413</v>
      </c>
      <c r="I198" s="19" t="s">
        <v>1414</v>
      </c>
      <c r="J198" s="19" t="s">
        <v>1415</v>
      </c>
      <c r="K198" s="19">
        <v>40.6498302</v>
      </c>
      <c r="L198" s="19">
        <v>14.6128463</v>
      </c>
      <c r="M198" s="29" t="str">
        <f t="shared" si="10"/>
        <v>https://www.google.com/maps/search/Hotel%20Villa%20Fraulo%2C%20Ravello%2C%20Italy</v>
      </c>
      <c r="N198" s="24" t="s">
        <v>1386</v>
      </c>
      <c r="O198" s="19" t="s">
        <v>1387</v>
      </c>
      <c r="P198" s="25" t="str">
        <f t="shared" si="1"/>
        <v>Ravello</v>
      </c>
      <c r="Q198" s="25" t="str">
        <f t="shared" si="2"/>
        <v>Hotel Rufolo, Ravello, Italy</v>
      </c>
      <c r="R198" s="25" t="str">
        <f>VLOOKUP(A198,'Travel Times'!$A$1:$E$1000,4,0)</f>
        <v>5 mins</v>
      </c>
      <c r="S198" s="25" t="str">
        <f>VLOOKUP(A198,'Travel Times'!$A$1:$E$1000,5,0)</f>
        <v>1 min</v>
      </c>
    </row>
    <row r="199">
      <c r="A199" s="19" t="s">
        <v>1416</v>
      </c>
      <c r="B199" s="19" t="s">
        <v>266</v>
      </c>
      <c r="C199" s="19" t="s">
        <v>1410</v>
      </c>
      <c r="D199" s="19" t="s">
        <v>390</v>
      </c>
      <c r="E199" s="19" t="s">
        <v>1417</v>
      </c>
      <c r="F199" s="19" t="s">
        <v>1418</v>
      </c>
      <c r="G199" s="19" t="s">
        <v>1167</v>
      </c>
      <c r="H199" s="19" t="s">
        <v>1419</v>
      </c>
      <c r="I199" s="19" t="s">
        <v>1420</v>
      </c>
      <c r="J199" s="19" t="s">
        <v>1421</v>
      </c>
      <c r="K199" s="19">
        <v>40.6520195</v>
      </c>
      <c r="L199" s="19">
        <v>14.6146212</v>
      </c>
      <c r="M199" s="29" t="str">
        <f t="shared" si="10"/>
        <v>https://www.google.com/maps/search/Villa%20Piedimonte%2C%20Ravello%2C%20Italy</v>
      </c>
      <c r="N199" s="24" t="s">
        <v>1386</v>
      </c>
      <c r="O199" s="19" t="s">
        <v>1387</v>
      </c>
      <c r="P199" s="25" t="str">
        <f t="shared" si="1"/>
        <v>Ravello</v>
      </c>
      <c r="Q199" s="25" t="str">
        <f t="shared" si="2"/>
        <v>Hotel Rufolo, Ravello, Italy</v>
      </c>
      <c r="R199" s="25" t="str">
        <f>VLOOKUP(A199,'Travel Times'!$A$1:$E$1000,4,0)</f>
        <v>9 mins</v>
      </c>
      <c r="S199" s="25" t="str">
        <f>VLOOKUP(A199,'Travel Times'!$A$1:$E$1000,5,0)</f>
        <v>3 mins</v>
      </c>
    </row>
    <row r="200">
      <c r="A200" s="19" t="s">
        <v>1422</v>
      </c>
      <c r="B200" s="19" t="s">
        <v>266</v>
      </c>
      <c r="C200" s="19" t="s">
        <v>1423</v>
      </c>
      <c r="D200" s="19" t="s">
        <v>390</v>
      </c>
      <c r="E200" s="19" t="s">
        <v>1424</v>
      </c>
      <c r="F200" s="19" t="s">
        <v>1425</v>
      </c>
      <c r="G200" s="19" t="s">
        <v>1167</v>
      </c>
      <c r="H200" s="19" t="s">
        <v>1426</v>
      </c>
      <c r="I200" s="19" t="s">
        <v>1427</v>
      </c>
      <c r="J200" s="19" t="s">
        <v>460</v>
      </c>
      <c r="K200" s="19">
        <v>40.6514101</v>
      </c>
      <c r="L200" s="19">
        <v>14.6129723</v>
      </c>
      <c r="M200" s="29" t="str">
        <f t="shared" si="10"/>
        <v>https://www.google.com/maps/search/Caruso%20A%20Belmond%20Hotel%2C%20Ravello%2C%20Italy</v>
      </c>
      <c r="N200" s="24" t="s">
        <v>1386</v>
      </c>
      <c r="O200" s="19" t="s">
        <v>1387</v>
      </c>
      <c r="P200" s="25" t="str">
        <f t="shared" si="1"/>
        <v>Ravello</v>
      </c>
      <c r="Q200" s="25" t="str">
        <f t="shared" si="2"/>
        <v>Hotel Rufolo, Ravello, Italy</v>
      </c>
      <c r="R200" s="25" t="str">
        <f>VLOOKUP(A200,'Travel Times'!$A$1:$E$1000,4,0)</f>
        <v>8 mins</v>
      </c>
      <c r="S200" s="25" t="str">
        <f>VLOOKUP(A200,'Travel Times'!$A$1:$E$1000,5,0)</f>
        <v>3 mins</v>
      </c>
    </row>
    <row r="201">
      <c r="A201" s="19" t="s">
        <v>802</v>
      </c>
      <c r="B201" s="19" t="s">
        <v>266</v>
      </c>
      <c r="C201" s="19" t="s">
        <v>1423</v>
      </c>
      <c r="D201" s="19" t="s">
        <v>390</v>
      </c>
      <c r="E201" s="19" t="s">
        <v>1428</v>
      </c>
      <c r="F201" s="19" t="s">
        <v>1429</v>
      </c>
      <c r="G201" s="19" t="s">
        <v>1167</v>
      </c>
      <c r="H201" s="19" t="s">
        <v>1430</v>
      </c>
      <c r="I201" s="19" t="s">
        <v>805</v>
      </c>
      <c r="J201" s="19" t="s">
        <v>806</v>
      </c>
      <c r="K201" s="19">
        <v>40.6508871</v>
      </c>
      <c r="L201" s="19">
        <v>14.6129698</v>
      </c>
      <c r="M201" s="29" t="str">
        <f t="shared" si="10"/>
        <v>https://www.google.com/maps/search/Palazzo%20Avino%2C%20Ravello%2C%20Italy</v>
      </c>
      <c r="N201" s="24" t="s">
        <v>1386</v>
      </c>
      <c r="O201" s="19" t="s">
        <v>1387</v>
      </c>
      <c r="P201" s="25" t="str">
        <f t="shared" si="1"/>
        <v>Ravello</v>
      </c>
      <c r="Q201" s="25" t="str">
        <f t="shared" si="2"/>
        <v>Hotel Rufolo, Ravello, Italy</v>
      </c>
      <c r="R201" s="25" t="str">
        <f>VLOOKUP(A201,'Travel Times'!$A$1:$E$1000,4,0)</f>
        <v>8 mins</v>
      </c>
      <c r="S201" s="25" t="str">
        <f>VLOOKUP(A201,'Travel Times'!$A$1:$E$1000,5,0)</f>
        <v>2 mins</v>
      </c>
    </row>
    <row r="202">
      <c r="A202" s="19" t="s">
        <v>1431</v>
      </c>
      <c r="B202" s="19" t="s">
        <v>266</v>
      </c>
      <c r="C202" s="19" t="s">
        <v>1432</v>
      </c>
      <c r="D202" s="19" t="s">
        <v>390</v>
      </c>
      <c r="E202" s="19" t="s">
        <v>1433</v>
      </c>
      <c r="F202" s="19" t="s">
        <v>1434</v>
      </c>
      <c r="G202" s="19" t="s">
        <v>1167</v>
      </c>
      <c r="H202" s="19" t="s">
        <v>1435</v>
      </c>
      <c r="I202" s="19" t="s">
        <v>1436</v>
      </c>
      <c r="J202" s="19" t="s">
        <v>1437</v>
      </c>
      <c r="K202" s="19">
        <v>40.6538344</v>
      </c>
      <c r="L202" s="19">
        <v>14.613053</v>
      </c>
      <c r="M202" s="29" t="str">
        <f t="shared" si="10"/>
        <v>https://www.google.com/maps/search/La%20Moresca%2C%20Ravello%2C%20Italy</v>
      </c>
      <c r="N202" s="24" t="s">
        <v>1386</v>
      </c>
      <c r="O202" s="19" t="s">
        <v>1387</v>
      </c>
      <c r="P202" s="25" t="str">
        <f t="shared" si="1"/>
        <v>Ravello</v>
      </c>
      <c r="Q202" s="25" t="str">
        <f t="shared" si="2"/>
        <v>Hotel Rufolo, Ravello, Italy</v>
      </c>
      <c r="R202" s="25" t="str">
        <f>VLOOKUP(A202,'Travel Times'!$A$1:$E$1000,4,0)</f>
        <v>10 mins</v>
      </c>
      <c r="S202" s="25" t="str">
        <f>VLOOKUP(A202,'Travel Times'!$A$1:$E$1000,5,0)</f>
        <v>6 mins</v>
      </c>
    </row>
    <row r="203">
      <c r="A203" s="19" t="s">
        <v>1438</v>
      </c>
      <c r="B203" s="19" t="s">
        <v>266</v>
      </c>
      <c r="C203" s="19" t="s">
        <v>1423</v>
      </c>
      <c r="D203" s="19" t="s">
        <v>390</v>
      </c>
      <c r="E203" s="19" t="s">
        <v>1439</v>
      </c>
      <c r="F203" s="19" t="s">
        <v>1440</v>
      </c>
      <c r="G203" s="19" t="s">
        <v>1167</v>
      </c>
      <c r="H203" s="19" t="s">
        <v>1441</v>
      </c>
      <c r="I203" s="19" t="s">
        <v>868</v>
      </c>
      <c r="J203" s="19" t="s">
        <v>869</v>
      </c>
      <c r="K203" s="19">
        <v>40.644269</v>
      </c>
      <c r="L203" s="19">
        <v>14.611034</v>
      </c>
      <c r="M203" s="29" t="str">
        <f t="shared" si="10"/>
        <v>https://www.google.com/maps/search/Villa%20Cimbrone%20Hotel%2C%20Ravello%2C%20Italy</v>
      </c>
      <c r="N203" s="24" t="s">
        <v>1386</v>
      </c>
      <c r="O203" s="19" t="s">
        <v>1387</v>
      </c>
      <c r="P203" s="25" t="str">
        <f t="shared" si="1"/>
        <v>Ravello</v>
      </c>
      <c r="Q203" s="25" t="str">
        <f t="shared" si="2"/>
        <v>Hotel Rufolo, Ravello, Italy</v>
      </c>
      <c r="R203" s="25" t="str">
        <f>VLOOKUP(A203,'Travel Times'!$A$1:$E$1000,4,0)</f>
        <v>9 mins</v>
      </c>
      <c r="S203" s="25" t="str">
        <f>VLOOKUP(A203,'Travel Times'!$A$1:$E$1000,5,0)</f>
        <v>5 mins</v>
      </c>
    </row>
    <row r="204">
      <c r="A204" s="19" t="s">
        <v>1442</v>
      </c>
      <c r="B204" s="19" t="s">
        <v>266</v>
      </c>
      <c r="C204" s="19" t="s">
        <v>1443</v>
      </c>
      <c r="D204" s="19" t="s">
        <v>521</v>
      </c>
      <c r="E204" s="19" t="s">
        <v>1444</v>
      </c>
      <c r="F204" s="19" t="s">
        <v>1445</v>
      </c>
      <c r="G204" s="19" t="s">
        <v>614</v>
      </c>
      <c r="H204" s="19" t="s">
        <v>1446</v>
      </c>
      <c r="I204" s="19" t="s">
        <v>1447</v>
      </c>
      <c r="J204" s="19" t="s">
        <v>1448</v>
      </c>
      <c r="K204" s="19">
        <v>40.6505182</v>
      </c>
      <c r="L204" s="19">
        <v>14.6114701</v>
      </c>
      <c r="M204" s="29" t="str">
        <f t="shared" si="10"/>
        <v>https://www.google.com/maps/search/Cumpa%20Cosimo%2C%20Ravello%2C%20Italy</v>
      </c>
      <c r="N204" s="24" t="s">
        <v>1386</v>
      </c>
      <c r="O204" s="19" t="s">
        <v>1387</v>
      </c>
      <c r="P204" s="25" t="str">
        <f t="shared" si="1"/>
        <v>Ravello</v>
      </c>
      <c r="Q204" s="25" t="str">
        <f t="shared" si="2"/>
        <v>Hotel Rufolo, Ravello, Italy</v>
      </c>
      <c r="R204" s="25" t="str">
        <f>VLOOKUP(A204,'Travel Times'!$A$1:$E$1000,4,0)</f>
        <v>4 mins</v>
      </c>
      <c r="S204" s="25" t="str">
        <f>VLOOKUP(A204,'Travel Times'!$A$1:$E$1000,5,0)</f>
        <v>5 mins</v>
      </c>
    </row>
    <row r="205">
      <c r="A205" s="19" t="s">
        <v>1449</v>
      </c>
      <c r="B205" s="19" t="s">
        <v>266</v>
      </c>
      <c r="C205" s="19" t="s">
        <v>345</v>
      </c>
      <c r="D205" s="19" t="s">
        <v>291</v>
      </c>
      <c r="E205" s="19" t="s">
        <v>1450</v>
      </c>
      <c r="F205" s="19" t="s">
        <v>1451</v>
      </c>
      <c r="G205" s="19" t="s">
        <v>1452</v>
      </c>
      <c r="H205" s="19" t="s">
        <v>1453</v>
      </c>
      <c r="I205" s="19" t="s">
        <v>1454</v>
      </c>
      <c r="J205" s="19" t="s">
        <v>1455</v>
      </c>
      <c r="K205" s="19">
        <v>40.6489113</v>
      </c>
      <c r="L205" s="19">
        <v>14.6132092</v>
      </c>
      <c r="M205" s="29" t="str">
        <f t="shared" si="10"/>
        <v>https://www.google.com/maps/search/Garden%20Ravelo%20Restaurant%2C%20Ravello%2C%20Italy</v>
      </c>
      <c r="N205" s="24" t="s">
        <v>1386</v>
      </c>
      <c r="O205" s="19" t="s">
        <v>1387</v>
      </c>
      <c r="P205" s="25" t="str">
        <f t="shared" si="1"/>
        <v>Ravello</v>
      </c>
      <c r="Q205" s="25" t="str">
        <f t="shared" si="2"/>
        <v>Hotel Rufolo, Ravello, Italy</v>
      </c>
      <c r="R205" s="25" t="str">
        <f>VLOOKUP(A205,'Travel Times'!$A$1:$E$1000,4,0)</f>
        <v>3 mins</v>
      </c>
      <c r="S205" s="25" t="str">
        <f>VLOOKUP(A205,'Travel Times'!$A$1:$E$1000,5,0)</f>
        <v>1 min</v>
      </c>
    </row>
    <row r="206">
      <c r="A206" s="19" t="s">
        <v>1456</v>
      </c>
      <c r="B206" s="19" t="s">
        <v>266</v>
      </c>
      <c r="C206" s="19" t="s">
        <v>302</v>
      </c>
      <c r="D206" s="19" t="s">
        <v>291</v>
      </c>
      <c r="E206" s="19" t="s">
        <v>1457</v>
      </c>
      <c r="F206" s="19" t="s">
        <v>1458</v>
      </c>
      <c r="G206" s="19" t="s">
        <v>1459</v>
      </c>
      <c r="H206" s="19" t="s">
        <v>1460</v>
      </c>
      <c r="I206" s="19" t="s">
        <v>1461</v>
      </c>
      <c r="J206" s="19" t="s">
        <v>1462</v>
      </c>
      <c r="K206" s="19">
        <v>40.6495303</v>
      </c>
      <c r="L206" s="19">
        <v>14.6137005</v>
      </c>
      <c r="M206" s="29" t="str">
        <f t="shared" si="10"/>
        <v>https://www.google.com/maps/search/Salvatore%20Ravello%201958%2C%20Ravello%2C%20Italy</v>
      </c>
      <c r="N206" s="24" t="s">
        <v>1386</v>
      </c>
      <c r="O206" s="19" t="s">
        <v>1387</v>
      </c>
      <c r="P206" s="25" t="str">
        <f t="shared" si="1"/>
        <v>Ravello</v>
      </c>
      <c r="Q206" s="25" t="str">
        <f t="shared" si="2"/>
        <v>Hotel Rufolo, Ravello, Italy</v>
      </c>
      <c r="R206" s="25" t="str">
        <f>VLOOKUP(A206,'Travel Times'!$A$1:$E$1000,4,0)</f>
        <v>4 mins</v>
      </c>
      <c r="S206" s="25" t="str">
        <f>VLOOKUP(A206,'Travel Times'!$A$1:$E$1000,5,0)</f>
        <v>1 min</v>
      </c>
    </row>
    <row r="207">
      <c r="A207" s="19" t="s">
        <v>812</v>
      </c>
      <c r="B207" s="19" t="s">
        <v>266</v>
      </c>
      <c r="C207" s="19" t="s">
        <v>1463</v>
      </c>
      <c r="D207" s="19" t="s">
        <v>605</v>
      </c>
      <c r="E207" s="19" t="s">
        <v>1464</v>
      </c>
      <c r="F207" s="19" t="s">
        <v>1465</v>
      </c>
      <c r="G207" s="19" t="s">
        <v>1459</v>
      </c>
      <c r="H207" s="19" t="s">
        <v>1466</v>
      </c>
      <c r="I207" s="19" t="s">
        <v>805</v>
      </c>
      <c r="J207" s="19" t="s">
        <v>806</v>
      </c>
      <c r="K207" s="19">
        <v>40.6508871</v>
      </c>
      <c r="L207" s="19">
        <v>14.6129698</v>
      </c>
      <c r="M207" s="29" t="str">
        <f t="shared" si="10"/>
        <v>https://www.google.com/maps/search/Rossellini%27s%2C%20Ravello%2C%20Italy</v>
      </c>
      <c r="N207" s="24" t="s">
        <v>1386</v>
      </c>
      <c r="O207" s="19" t="s">
        <v>1387</v>
      </c>
      <c r="P207" s="25" t="str">
        <f t="shared" si="1"/>
        <v>Ravello</v>
      </c>
      <c r="Q207" s="25" t="str">
        <f t="shared" si="2"/>
        <v>Hotel Rufolo, Ravello, Italy</v>
      </c>
      <c r="R207" s="25" t="str">
        <f>VLOOKUP(A207,'Travel Times'!$A$1:$E$1000,4,0)</f>
        <v>8 mins</v>
      </c>
      <c r="S207" s="25" t="str">
        <f>VLOOKUP(A207,'Travel Times'!$A$1:$E$1000,5,0)</f>
        <v>2 mins</v>
      </c>
    </row>
    <row r="208">
      <c r="A208" s="19" t="s">
        <v>1467</v>
      </c>
      <c r="B208" s="19" t="s">
        <v>266</v>
      </c>
      <c r="C208" s="19" t="s">
        <v>1104</v>
      </c>
      <c r="D208" s="19" t="s">
        <v>270</v>
      </c>
      <c r="E208" s="19" t="s">
        <v>1468</v>
      </c>
      <c r="F208" s="19" t="s">
        <v>1469</v>
      </c>
      <c r="G208" s="19" t="s">
        <v>1470</v>
      </c>
      <c r="H208" s="19" t="s">
        <v>1471</v>
      </c>
      <c r="I208" s="19" t="s">
        <v>1472</v>
      </c>
      <c r="J208" s="19" t="s">
        <v>1473</v>
      </c>
      <c r="K208" s="19">
        <v>40.6499964</v>
      </c>
      <c r="L208" s="19">
        <v>14.6110882</v>
      </c>
      <c r="M208" s="29" t="str">
        <f t="shared" si="10"/>
        <v>https://www.google.com/maps/search/Enotavola%20Wine%20Bar%2C%20Ravello%2C%20Italy</v>
      </c>
      <c r="N208" s="24" t="s">
        <v>1386</v>
      </c>
      <c r="O208" s="19" t="s">
        <v>1387</v>
      </c>
      <c r="P208" s="25" t="str">
        <f t="shared" si="1"/>
        <v>Ravello</v>
      </c>
      <c r="Q208" s="25" t="str">
        <f t="shared" si="2"/>
        <v>Hotel Rufolo, Ravello, Italy</v>
      </c>
      <c r="R208" s="25" t="str">
        <f>VLOOKUP(A208,'Travel Times'!$A$1:$E$1000,4,0)</f>
        <v>3 mins</v>
      </c>
      <c r="S208" s="25" t="str">
        <f>VLOOKUP(A208,'Travel Times'!$A$1:$E$1000,5,0)</f>
        <v>5 mins</v>
      </c>
    </row>
    <row r="209">
      <c r="A209" s="19" t="s">
        <v>1474</v>
      </c>
      <c r="B209" s="19" t="s">
        <v>266</v>
      </c>
      <c r="C209" s="19" t="s">
        <v>1475</v>
      </c>
      <c r="D209" s="19" t="s">
        <v>1476</v>
      </c>
      <c r="E209" s="19" t="s">
        <v>1477</v>
      </c>
      <c r="F209" s="19" t="s">
        <v>1478</v>
      </c>
      <c r="G209" s="19" t="s">
        <v>1479</v>
      </c>
      <c r="H209" s="19" t="s">
        <v>1480</v>
      </c>
      <c r="I209" s="19" t="s">
        <v>874</v>
      </c>
      <c r="J209" s="19" t="s">
        <v>476</v>
      </c>
      <c r="K209" s="19">
        <v>40.6491825</v>
      </c>
      <c r="L209" s="19">
        <v>14.6116481</v>
      </c>
      <c r="M209" s="29" t="str">
        <f t="shared" si="10"/>
        <v>https://www.google.com/maps/search/Ravello%20Concert%20Society%2C%20Ravello%2C%20Italy</v>
      </c>
      <c r="N209" s="24" t="s">
        <v>1386</v>
      </c>
      <c r="O209" s="19" t="s">
        <v>1387</v>
      </c>
      <c r="P209" s="25" t="str">
        <f t="shared" si="1"/>
        <v>Ravello</v>
      </c>
      <c r="Q209" s="25" t="str">
        <f t="shared" si="2"/>
        <v>Hotel Rufolo, Ravello, Italy</v>
      </c>
      <c r="R209" s="25" t="str">
        <f>VLOOKUP(A209,'Travel Times'!$A$1:$E$1000,4,0)</f>
        <v>2 mins</v>
      </c>
      <c r="S209" s="25" t="str">
        <f>VLOOKUP(A209,'Travel Times'!$A$1:$E$1000,5,0)</f>
        <v>1 min</v>
      </c>
    </row>
    <row r="210">
      <c r="A210" s="19" t="s">
        <v>1481</v>
      </c>
      <c r="B210" s="19" t="s">
        <v>266</v>
      </c>
      <c r="C210" s="19" t="s">
        <v>1174</v>
      </c>
      <c r="D210" s="19" t="s">
        <v>657</v>
      </c>
      <c r="E210" s="19" t="s">
        <v>1482</v>
      </c>
      <c r="F210" s="19" t="s">
        <v>1483</v>
      </c>
      <c r="G210" s="19" t="s">
        <v>1484</v>
      </c>
      <c r="H210" s="19" t="s">
        <v>1485</v>
      </c>
      <c r="I210" s="19" t="s">
        <v>939</v>
      </c>
      <c r="J210" s="19" t="s">
        <v>484</v>
      </c>
      <c r="K210" s="19">
        <v>40.6515802</v>
      </c>
      <c r="L210" s="19">
        <v>14.6140606</v>
      </c>
      <c r="M210" s="29" t="str">
        <f t="shared" si="10"/>
        <v>https://www.google.com/maps/search/Local%20Artisan%20Shops%2C%20Ravello%2C%20Italy</v>
      </c>
      <c r="N210" s="24" t="s">
        <v>1386</v>
      </c>
      <c r="O210" s="19" t="s">
        <v>1387</v>
      </c>
      <c r="P210" s="25" t="str">
        <f t="shared" si="1"/>
        <v>Ravello</v>
      </c>
      <c r="Q210" s="25" t="str">
        <f t="shared" si="2"/>
        <v>Hotel Rufolo, Ravello, Italy</v>
      </c>
      <c r="R210" s="25" t="str">
        <f>VLOOKUP(A210,'Travel Times'!$A$1:$E$1000,4,0)</f>
        <v>7 mins</v>
      </c>
      <c r="S210" s="25" t="str">
        <f>VLOOKUP(A210,'Travel Times'!$A$1:$E$1000,5,0)</f>
        <v>3 mins</v>
      </c>
    </row>
    <row r="211">
      <c r="A211" s="19" t="s">
        <v>1486</v>
      </c>
      <c r="B211" s="19" t="s">
        <v>50</v>
      </c>
      <c r="C211" s="19" t="s">
        <v>133</v>
      </c>
      <c r="D211" s="19" t="s">
        <v>390</v>
      </c>
      <c r="E211" s="19" t="s">
        <v>1487</v>
      </c>
      <c r="F211" s="19" t="s">
        <v>1488</v>
      </c>
      <c r="G211" s="19" t="s">
        <v>1016</v>
      </c>
      <c r="H211" s="19" t="s">
        <v>1489</v>
      </c>
      <c r="I211" s="19" t="s">
        <v>1490</v>
      </c>
      <c r="J211" s="19" t="s">
        <v>1491</v>
      </c>
      <c r="K211" s="19">
        <v>40.6164155</v>
      </c>
      <c r="L211" s="19">
        <v>14.5218464</v>
      </c>
      <c r="M211" s="29" t="str">
        <f t="shared" ref="M211:M278" si="11">HYPERLINK("https://www.google.com/maps/search/"&amp;ENCODEURL(A211&amp;", "&amp;B211&amp;", Italy"))</f>
        <v>https://www.google.com/maps/search/Hotel%20Pellegrino%2C%20Praiano%2C%20Italy</v>
      </c>
      <c r="N211" s="19" t="s">
        <v>299</v>
      </c>
      <c r="O211" s="19" t="s">
        <v>1492</v>
      </c>
      <c r="P211" s="25" t="str">
        <f t="shared" si="1"/>
        <v>Positano</v>
      </c>
      <c r="Q211" s="25" t="str">
        <f t="shared" si="2"/>
        <v>Hotel Savoia, Positano, Italy</v>
      </c>
      <c r="R211" s="25" t="str">
        <f>VLOOKUP(A211,'Travel Times'!$A$1:$E$1000,4,0)</f>
        <v>1 hour 13 mins</v>
      </c>
      <c r="S211" s="25" t="str">
        <f>VLOOKUP(A211,'Travel Times'!$A$1:$E$1000,5,0)</f>
        <v>12 mins</v>
      </c>
    </row>
    <row r="212">
      <c r="A212" s="19" t="s">
        <v>1493</v>
      </c>
      <c r="B212" s="19" t="s">
        <v>50</v>
      </c>
      <c r="C212" s="19" t="s">
        <v>133</v>
      </c>
      <c r="D212" s="19" t="s">
        <v>390</v>
      </c>
      <c r="E212" s="19" t="s">
        <v>1494</v>
      </c>
      <c r="F212" s="19" t="s">
        <v>1495</v>
      </c>
      <c r="G212" s="19" t="s">
        <v>1016</v>
      </c>
      <c r="H212" s="19" t="s">
        <v>1496</v>
      </c>
      <c r="I212" s="19" t="s">
        <v>1497</v>
      </c>
      <c r="J212" s="19" t="s">
        <v>1498</v>
      </c>
      <c r="K212" s="19">
        <v>40.6099533</v>
      </c>
      <c r="L212" s="19">
        <v>14.5299799</v>
      </c>
      <c r="M212" s="29" t="str">
        <f t="shared" si="11"/>
        <v>https://www.google.com/maps/search/Hotel%20Margherita%2C%20Praiano%2C%20Italy</v>
      </c>
      <c r="N212" s="19" t="s">
        <v>299</v>
      </c>
      <c r="O212" s="19" t="s">
        <v>1492</v>
      </c>
      <c r="P212" s="25" t="str">
        <f t="shared" si="1"/>
        <v>Positano</v>
      </c>
      <c r="Q212" s="25" t="str">
        <f t="shared" si="2"/>
        <v>Hotel Savoia, Positano, Italy</v>
      </c>
      <c r="R212" s="25" t="str">
        <f>VLOOKUP(A212,'Travel Times'!$A$1:$E$1000,4,0)</f>
        <v>1 hour 43 mins</v>
      </c>
      <c r="S212" s="25" t="str">
        <f>VLOOKUP(A212,'Travel Times'!$A$1:$E$1000,5,0)</f>
        <v>16 mins</v>
      </c>
    </row>
    <row r="213">
      <c r="A213" s="19" t="s">
        <v>51</v>
      </c>
      <c r="B213" s="19" t="s">
        <v>50</v>
      </c>
      <c r="C213" s="19" t="s">
        <v>133</v>
      </c>
      <c r="D213" s="19" t="s">
        <v>390</v>
      </c>
      <c r="E213" s="19" t="s">
        <v>1499</v>
      </c>
      <c r="F213" s="19" t="s">
        <v>1500</v>
      </c>
      <c r="G213" s="19" t="s">
        <v>1016</v>
      </c>
      <c r="H213" s="19" t="s">
        <v>1501</v>
      </c>
      <c r="I213" s="19" t="s">
        <v>1502</v>
      </c>
      <c r="J213" s="19" t="s">
        <v>1503</v>
      </c>
      <c r="K213" s="19">
        <v>40.6144834</v>
      </c>
      <c r="L213" s="19">
        <v>14.5217222</v>
      </c>
      <c r="M213" s="29" t="str">
        <f t="shared" si="11"/>
        <v>https://www.google.com/maps/search/Casa%20Angelina%2C%20Praiano%2C%20Italy</v>
      </c>
      <c r="N213" s="19" t="s">
        <v>299</v>
      </c>
      <c r="O213" s="19" t="s">
        <v>1492</v>
      </c>
      <c r="P213" s="25" t="str">
        <f t="shared" si="1"/>
        <v>Positano</v>
      </c>
      <c r="Q213" s="25" t="str">
        <f t="shared" si="2"/>
        <v>Hotel Savoia, Positano, Italy</v>
      </c>
      <c r="R213" s="25" t="str">
        <f>VLOOKUP(A213,'Travel Times'!$A$1:$E$1000,4,0)</f>
        <v>1 hour 21 mins</v>
      </c>
      <c r="S213" s="25" t="str">
        <f>VLOOKUP(A213,'Travel Times'!$A$1:$E$1000,5,0)</f>
        <v>13 mins</v>
      </c>
    </row>
    <row r="214">
      <c r="A214" s="19" t="s">
        <v>1504</v>
      </c>
      <c r="B214" s="19" t="s">
        <v>50</v>
      </c>
      <c r="C214" s="19" t="s">
        <v>133</v>
      </c>
      <c r="D214" s="19" t="s">
        <v>390</v>
      </c>
      <c r="E214" s="19" t="s">
        <v>1505</v>
      </c>
      <c r="F214" s="19" t="s">
        <v>1506</v>
      </c>
      <c r="G214" s="19" t="s">
        <v>1016</v>
      </c>
      <c r="H214" s="19" t="s">
        <v>1507</v>
      </c>
      <c r="I214" s="19" t="s">
        <v>1508</v>
      </c>
      <c r="J214" s="19" t="s">
        <v>1509</v>
      </c>
      <c r="K214" s="19">
        <v>40.6125079</v>
      </c>
      <c r="L214" s="19">
        <v>14.538385</v>
      </c>
      <c r="M214" s="29" t="str">
        <f t="shared" si="11"/>
        <v>https://www.google.com/maps/search/Hotel%20Onda%20Verde%2C%20Praiano%2C%20Italy</v>
      </c>
      <c r="N214" s="19" t="s">
        <v>299</v>
      </c>
      <c r="O214" s="19" t="s">
        <v>1492</v>
      </c>
      <c r="P214" s="25" t="str">
        <f t="shared" si="1"/>
        <v>Positano</v>
      </c>
      <c r="Q214" s="25" t="str">
        <f t="shared" si="2"/>
        <v>Hotel Savoia, Positano, Italy</v>
      </c>
      <c r="R214" s="25" t="str">
        <f>VLOOKUP(A214,'Travel Times'!$A$1:$E$1000,4,0)</f>
        <v>1 hour 59 mins</v>
      </c>
      <c r="S214" s="25" t="str">
        <f>VLOOKUP(A214,'Travel Times'!$A$1:$E$1000,5,0)</f>
        <v>17 mins</v>
      </c>
    </row>
    <row r="215">
      <c r="A215" s="19" t="s">
        <v>1510</v>
      </c>
      <c r="B215" s="19" t="s">
        <v>50</v>
      </c>
      <c r="C215" s="19" t="s">
        <v>133</v>
      </c>
      <c r="D215" s="19" t="s">
        <v>390</v>
      </c>
      <c r="E215" s="19" t="s">
        <v>1511</v>
      </c>
      <c r="F215" s="19" t="s">
        <v>1512</v>
      </c>
      <c r="G215" s="19" t="s">
        <v>1016</v>
      </c>
      <c r="H215" s="19" t="s">
        <v>1513</v>
      </c>
      <c r="I215" s="19" t="s">
        <v>1514</v>
      </c>
      <c r="J215" s="19" t="s">
        <v>1515</v>
      </c>
      <c r="K215" s="19">
        <v>40.6180127</v>
      </c>
      <c r="L215" s="19">
        <v>14.5164299</v>
      </c>
      <c r="M215" s="29" t="str">
        <f t="shared" si="11"/>
        <v>https://www.google.com/maps/search/Grand%20Hotel%20Tritone%2C%20Praiano%2C%20Italy</v>
      </c>
      <c r="N215" s="19" t="s">
        <v>299</v>
      </c>
      <c r="O215" s="19" t="s">
        <v>1492</v>
      </c>
      <c r="P215" s="25" t="str">
        <f t="shared" si="1"/>
        <v>Positano</v>
      </c>
      <c r="Q215" s="25" t="str">
        <f t="shared" si="2"/>
        <v>Hotel Savoia, Positano, Italy</v>
      </c>
      <c r="R215" s="25" t="str">
        <f>VLOOKUP(A215,'Travel Times'!$A$1:$E$1000,4,0)</f>
        <v>1 hour 3 mins</v>
      </c>
      <c r="S215" s="25" t="str">
        <f>VLOOKUP(A215,'Travel Times'!$A$1:$E$1000,5,0)</f>
        <v>10 mins</v>
      </c>
    </row>
    <row r="216">
      <c r="A216" s="19" t="s">
        <v>1516</v>
      </c>
      <c r="B216" s="19" t="s">
        <v>399</v>
      </c>
      <c r="C216" s="19" t="s">
        <v>133</v>
      </c>
      <c r="D216" s="19" t="s">
        <v>390</v>
      </c>
      <c r="E216" s="19" t="s">
        <v>1517</v>
      </c>
      <c r="F216" s="19" t="s">
        <v>1518</v>
      </c>
      <c r="G216" s="19" t="s">
        <v>1016</v>
      </c>
      <c r="H216" s="19" t="s">
        <v>1519</v>
      </c>
      <c r="I216" s="19" t="s">
        <v>1520</v>
      </c>
      <c r="J216" s="19" t="s">
        <v>1521</v>
      </c>
      <c r="K216" s="19">
        <v>40.6193464</v>
      </c>
      <c r="L216" s="19">
        <v>14.5150701</v>
      </c>
      <c r="M216" s="29" t="str">
        <f t="shared" si="11"/>
        <v>https://www.google.com/maps/search/Villa%20Orizzonte%2C%20Praiano-Positano%2C%20Italy</v>
      </c>
      <c r="N216" s="19" t="s">
        <v>299</v>
      </c>
      <c r="O216" s="19" t="s">
        <v>1492</v>
      </c>
      <c r="P216" s="25" t="str">
        <f t="shared" si="1"/>
        <v>Positano</v>
      </c>
      <c r="Q216" s="25" t="str">
        <f t="shared" si="2"/>
        <v>Hotel Savoia, Positano, Italy</v>
      </c>
      <c r="R216" s="25" t="str">
        <f>VLOOKUP(A216,'Travel Times'!$A$1:$E$1000,4,0)</f>
        <v>59 mins</v>
      </c>
      <c r="S216" s="25" t="str">
        <f>VLOOKUP(A216,'Travel Times'!$A$1:$E$1000,5,0)</f>
        <v>10 mins</v>
      </c>
    </row>
    <row r="217">
      <c r="A217" s="19" t="s">
        <v>1522</v>
      </c>
      <c r="B217" s="19" t="s">
        <v>50</v>
      </c>
      <c r="C217" s="19" t="s">
        <v>1523</v>
      </c>
      <c r="D217" s="19" t="s">
        <v>390</v>
      </c>
      <c r="E217" s="19" t="s">
        <v>1524</v>
      </c>
      <c r="F217" s="19" t="s">
        <v>1525</v>
      </c>
      <c r="G217" s="19" t="s">
        <v>1016</v>
      </c>
      <c r="H217" s="19" t="s">
        <v>1496</v>
      </c>
      <c r="I217" s="19" t="s">
        <v>1526</v>
      </c>
      <c r="J217" s="19" t="s">
        <v>1527</v>
      </c>
      <c r="K217" s="19">
        <v>40.614735</v>
      </c>
      <c r="L217" s="19">
        <v>14.554373</v>
      </c>
      <c r="M217" s="29" t="str">
        <f t="shared" si="11"/>
        <v>https://www.google.com/maps/search/La%20Conchiglia%2C%20Praiano%2C%20Italy</v>
      </c>
      <c r="N217" s="19" t="s">
        <v>299</v>
      </c>
      <c r="O217" s="19" t="s">
        <v>1492</v>
      </c>
      <c r="P217" s="25" t="str">
        <f t="shared" si="1"/>
        <v>Positano</v>
      </c>
      <c r="Q217" s="25" t="str">
        <f t="shared" si="2"/>
        <v>Hotel Savoia, Positano, Italy</v>
      </c>
      <c r="R217" s="25" t="str">
        <f>VLOOKUP(A217,'Travel Times'!$A$1:$E$1000,4,0)</f>
        <v>2 hours 5 mins</v>
      </c>
      <c r="S217" s="25" t="str">
        <f>VLOOKUP(A217,'Travel Times'!$A$1:$E$1000,5,0)</f>
        <v>20 mins</v>
      </c>
    </row>
    <row r="218">
      <c r="A218" s="19" t="s">
        <v>1528</v>
      </c>
      <c r="B218" s="19" t="s">
        <v>50</v>
      </c>
      <c r="C218" s="19" t="s">
        <v>1529</v>
      </c>
      <c r="D218" s="19" t="s">
        <v>1530</v>
      </c>
      <c r="E218" s="19" t="s">
        <v>1531</v>
      </c>
      <c r="F218" s="19" t="s">
        <v>1532</v>
      </c>
      <c r="G218" s="19" t="s">
        <v>1533</v>
      </c>
      <c r="H218" s="19" t="s">
        <v>1534</v>
      </c>
      <c r="I218" s="19" t="s">
        <v>994</v>
      </c>
      <c r="J218" s="19" t="s">
        <v>498</v>
      </c>
      <c r="K218" s="19">
        <v>40.6117319</v>
      </c>
      <c r="L218" s="19">
        <v>14.5335099</v>
      </c>
      <c r="M218" s="29" t="str">
        <f t="shared" si="11"/>
        <v>https://www.google.com/maps/search/Casa%20Portapenta%2C%20Praiano%2C%20Italy</v>
      </c>
      <c r="N218" s="19" t="s">
        <v>299</v>
      </c>
      <c r="O218" s="19" t="s">
        <v>1492</v>
      </c>
      <c r="P218" s="25" t="str">
        <f t="shared" si="1"/>
        <v>Positano</v>
      </c>
      <c r="Q218" s="25" t="str">
        <f t="shared" si="2"/>
        <v>Hotel Savoia, Positano, Italy</v>
      </c>
      <c r="R218" s="25" t="str">
        <f>VLOOKUP(A218,'Travel Times'!$A$1:$E$1000,4,0)</f>
        <v>1 hour 47 mins</v>
      </c>
      <c r="S218" s="25" t="str">
        <f>VLOOKUP(A218,'Travel Times'!$A$1:$E$1000,5,0)</f>
        <v>17 mins</v>
      </c>
    </row>
    <row r="219">
      <c r="A219" s="19" t="s">
        <v>1535</v>
      </c>
      <c r="B219" s="19" t="s">
        <v>50</v>
      </c>
      <c r="C219" s="19" t="s">
        <v>246</v>
      </c>
      <c r="D219" s="19" t="s">
        <v>247</v>
      </c>
      <c r="E219" s="19" t="s">
        <v>1536</v>
      </c>
      <c r="F219" s="19" t="s">
        <v>1537</v>
      </c>
      <c r="G219" s="19" t="s">
        <v>1538</v>
      </c>
      <c r="H219" s="19" t="s">
        <v>1539</v>
      </c>
      <c r="I219" s="19" t="s">
        <v>1540</v>
      </c>
      <c r="J219" s="19" t="s">
        <v>1541</v>
      </c>
      <c r="K219" s="19">
        <v>40.6139227</v>
      </c>
      <c r="L219" s="19">
        <v>14.5213438</v>
      </c>
      <c r="M219" s="29" t="str">
        <f t="shared" si="11"/>
        <v>https://www.google.com/maps/search/Cafe%20Mirante%2C%20Praiano%2C%20Italy</v>
      </c>
      <c r="N219" s="19" t="s">
        <v>299</v>
      </c>
      <c r="O219" s="19" t="s">
        <v>1492</v>
      </c>
      <c r="P219" s="25" t="str">
        <f t="shared" si="1"/>
        <v>Positano</v>
      </c>
      <c r="Q219" s="25" t="str">
        <f t="shared" si="2"/>
        <v>Hotel Savoia, Positano, Italy</v>
      </c>
      <c r="R219" s="25" t="str">
        <f>VLOOKUP(A219,'Travel Times'!$A$1:$E$1000,4,0)</f>
        <v>1 hour 24 mins</v>
      </c>
      <c r="S219" s="25" t="str">
        <f>VLOOKUP(A219,'Travel Times'!$A$1:$E$1000,5,0)</f>
        <v>13 mins</v>
      </c>
    </row>
    <row r="220">
      <c r="A220" s="19" t="s">
        <v>1542</v>
      </c>
      <c r="B220" s="19" t="s">
        <v>50</v>
      </c>
      <c r="C220" s="19" t="s">
        <v>246</v>
      </c>
      <c r="D220" s="19" t="s">
        <v>247</v>
      </c>
      <c r="E220" s="19" t="s">
        <v>1543</v>
      </c>
      <c r="F220" s="19" t="s">
        <v>1544</v>
      </c>
      <c r="G220" s="19" t="s">
        <v>1545</v>
      </c>
      <c r="H220" s="19" t="s">
        <v>1546</v>
      </c>
      <c r="I220" s="19" t="s">
        <v>1547</v>
      </c>
      <c r="J220" s="19" t="s">
        <v>1548</v>
      </c>
      <c r="K220" s="19">
        <v>40.6117521</v>
      </c>
      <c r="L220" s="19">
        <v>14.5236009</v>
      </c>
      <c r="M220" s="29" t="str">
        <f t="shared" si="11"/>
        <v>https://www.google.com/maps/search/Caf%C3%A9%20Novanta%20Quattro%2C%20Praiano%2C%20Italy</v>
      </c>
      <c r="N220" s="19" t="s">
        <v>299</v>
      </c>
      <c r="O220" s="19" t="s">
        <v>1492</v>
      </c>
      <c r="P220" s="25" t="str">
        <f t="shared" si="1"/>
        <v>Positano</v>
      </c>
      <c r="Q220" s="25" t="str">
        <f t="shared" si="2"/>
        <v>Hotel Savoia, Positano, Italy</v>
      </c>
      <c r="R220" s="25" t="str">
        <f>VLOOKUP(A220,'Travel Times'!$A$1:$E$1000,4,0)</f>
        <v>1 hour 31 mins</v>
      </c>
      <c r="S220" s="25" t="str">
        <f>VLOOKUP(A220,'Travel Times'!$A$1:$E$1000,5,0)</f>
        <v>14 mins</v>
      </c>
    </row>
    <row r="221">
      <c r="A221" s="19" t="s">
        <v>1549</v>
      </c>
      <c r="B221" s="19" t="s">
        <v>50</v>
      </c>
      <c r="C221" s="19" t="s">
        <v>246</v>
      </c>
      <c r="D221" s="19" t="s">
        <v>247</v>
      </c>
      <c r="E221" s="19" t="s">
        <v>1550</v>
      </c>
      <c r="F221" s="19" t="s">
        <v>1551</v>
      </c>
      <c r="G221" s="19" t="s">
        <v>1552</v>
      </c>
      <c r="H221" s="19" t="s">
        <v>1553</v>
      </c>
      <c r="I221" s="19" t="s">
        <v>1547</v>
      </c>
      <c r="J221" s="19" t="s">
        <v>1548</v>
      </c>
      <c r="K221" s="19">
        <v>40.6117521</v>
      </c>
      <c r="L221" s="19">
        <v>14.5236009</v>
      </c>
      <c r="M221" s="29" t="str">
        <f t="shared" si="11"/>
        <v>https://www.google.com/maps/search/Sibilla%20Cafe%2C%20Praiano%2C%20Italy</v>
      </c>
      <c r="N221" s="19" t="s">
        <v>299</v>
      </c>
      <c r="O221" s="19" t="s">
        <v>1492</v>
      </c>
      <c r="P221" s="25" t="str">
        <f t="shared" si="1"/>
        <v>Positano</v>
      </c>
      <c r="Q221" s="25" t="str">
        <f t="shared" si="2"/>
        <v>Hotel Savoia, Positano, Italy</v>
      </c>
      <c r="R221" s="25" t="str">
        <f>VLOOKUP(A221,'Travel Times'!$A$1:$E$1000,4,0)</f>
        <v>1 hour 31 mins</v>
      </c>
      <c r="S221" s="25" t="str">
        <f>VLOOKUP(A221,'Travel Times'!$A$1:$E$1000,5,0)</f>
        <v>14 mins</v>
      </c>
    </row>
    <row r="222">
      <c r="A222" s="19" t="s">
        <v>1554</v>
      </c>
      <c r="B222" s="19" t="s">
        <v>61</v>
      </c>
      <c r="C222" s="19" t="s">
        <v>246</v>
      </c>
      <c r="D222" s="19" t="s">
        <v>247</v>
      </c>
      <c r="E222" s="19" t="s">
        <v>1555</v>
      </c>
      <c r="F222" s="19" t="s">
        <v>1556</v>
      </c>
      <c r="G222" s="19" t="s">
        <v>1557</v>
      </c>
      <c r="H222" s="19" t="s">
        <v>1558</v>
      </c>
      <c r="I222" s="19" t="s">
        <v>1559</v>
      </c>
      <c r="J222" s="19" t="s">
        <v>1560</v>
      </c>
      <c r="K222" s="19">
        <v>40.6303441</v>
      </c>
      <c r="L222" s="19">
        <v>14.4846042</v>
      </c>
      <c r="M222" s="29" t="str">
        <f t="shared" si="11"/>
        <v>https://www.google.com/maps/search/Casa%20e%20Bottega%2C%20Positano%2C%20Italy</v>
      </c>
      <c r="N222" s="19" t="s">
        <v>299</v>
      </c>
      <c r="O222" s="19" t="s">
        <v>1492</v>
      </c>
      <c r="P222" s="25" t="str">
        <f t="shared" si="1"/>
        <v>Positano</v>
      </c>
      <c r="Q222" s="25" t="str">
        <f t="shared" si="2"/>
        <v>Hotel Savoia, Positano, Italy</v>
      </c>
      <c r="R222" s="25" t="str">
        <f>VLOOKUP(A222,'Travel Times'!$A$1:$E$1000,4,0)</f>
        <v>4 mins</v>
      </c>
      <c r="S222" s="25" t="str">
        <f>VLOOKUP(A222,'Travel Times'!$A$1:$E$1000,5,0)</f>
        <v>16 mins</v>
      </c>
    </row>
    <row r="223">
      <c r="A223" s="19" t="s">
        <v>1561</v>
      </c>
      <c r="B223" s="19" t="s">
        <v>61</v>
      </c>
      <c r="C223" s="19" t="s">
        <v>246</v>
      </c>
      <c r="D223" s="19" t="s">
        <v>247</v>
      </c>
      <c r="E223" s="19" t="s">
        <v>1562</v>
      </c>
      <c r="F223" s="19" t="s">
        <v>1563</v>
      </c>
      <c r="G223" s="19" t="s">
        <v>582</v>
      </c>
      <c r="H223" s="19" t="s">
        <v>1564</v>
      </c>
      <c r="I223" s="19" t="s">
        <v>1565</v>
      </c>
      <c r="J223" s="19" t="s">
        <v>1566</v>
      </c>
      <c r="K223" s="19">
        <v>40.6284107</v>
      </c>
      <c r="L223" s="19">
        <v>14.4811414</v>
      </c>
      <c r="M223" s="29" t="str">
        <f t="shared" si="11"/>
        <v>https://www.google.com/maps/search/Posides%2C%20Positano%2C%20Italy</v>
      </c>
      <c r="N223" s="19" t="s">
        <v>299</v>
      </c>
      <c r="O223" s="19" t="s">
        <v>1492</v>
      </c>
      <c r="P223" s="25" t="str">
        <f t="shared" si="1"/>
        <v>Positano</v>
      </c>
      <c r="Q223" s="25" t="str">
        <f t="shared" si="2"/>
        <v>Hotel Savoia, Positano, Italy</v>
      </c>
      <c r="R223" s="25" t="str">
        <f>VLOOKUP(A223,'Travel Times'!$A$1:$E$1000,4,0)</f>
        <v>16 mins</v>
      </c>
      <c r="S223" s="25" t="str">
        <f>VLOOKUP(A223,'Travel Times'!$A$1:$E$1000,5,0)</f>
        <v>13 mins</v>
      </c>
    </row>
    <row r="224">
      <c r="A224" s="19" t="s">
        <v>1567</v>
      </c>
      <c r="B224" s="19" t="s">
        <v>50</v>
      </c>
      <c r="C224" s="19" t="s">
        <v>1119</v>
      </c>
      <c r="D224" s="19" t="s">
        <v>1568</v>
      </c>
      <c r="E224" s="19" t="s">
        <v>1569</v>
      </c>
      <c r="F224" s="19" t="s">
        <v>1570</v>
      </c>
      <c r="G224" s="19" t="s">
        <v>1571</v>
      </c>
      <c r="H224" s="19" t="s">
        <v>1572</v>
      </c>
      <c r="I224" s="19" t="s">
        <v>1573</v>
      </c>
      <c r="J224" s="19" t="s">
        <v>1574</v>
      </c>
      <c r="K224" s="19">
        <v>40.6122913</v>
      </c>
      <c r="L224" s="19">
        <v>14.5385018</v>
      </c>
      <c r="M224" s="29" t="str">
        <f t="shared" si="11"/>
        <v>https://www.google.com/maps/search/Ristorante%20Franchino%2C%20Praiano%2C%20Italy</v>
      </c>
      <c r="N224" s="19" t="s">
        <v>299</v>
      </c>
      <c r="O224" s="19" t="s">
        <v>1492</v>
      </c>
      <c r="P224" s="25" t="str">
        <f t="shared" si="1"/>
        <v>Positano</v>
      </c>
      <c r="Q224" s="25" t="str">
        <f t="shared" si="2"/>
        <v>Hotel Savoia, Positano, Italy</v>
      </c>
      <c r="R224" s="25" t="str">
        <f>VLOOKUP(A224,'Travel Times'!$A$1:$E$1000,4,0)</f>
        <v>1 hour 59 mins</v>
      </c>
      <c r="S224" s="25" t="str">
        <f>VLOOKUP(A224,'Travel Times'!$A$1:$E$1000,5,0)</f>
        <v>18 mins</v>
      </c>
    </row>
    <row r="225">
      <c r="A225" s="19" t="s">
        <v>1561</v>
      </c>
      <c r="B225" s="19" t="s">
        <v>61</v>
      </c>
      <c r="C225" s="19" t="s">
        <v>1119</v>
      </c>
      <c r="D225" s="19" t="s">
        <v>1568</v>
      </c>
      <c r="E225" s="19" t="s">
        <v>1575</v>
      </c>
      <c r="F225" s="19" t="s">
        <v>1576</v>
      </c>
      <c r="G225" s="19" t="s">
        <v>714</v>
      </c>
      <c r="H225" s="19" t="s">
        <v>1577</v>
      </c>
      <c r="I225" s="19" t="s">
        <v>1565</v>
      </c>
      <c r="J225" s="19" t="s">
        <v>1566</v>
      </c>
      <c r="K225" s="19">
        <v>40.6284107</v>
      </c>
      <c r="L225" s="19">
        <v>14.4811414</v>
      </c>
      <c r="M225" s="29" t="str">
        <f t="shared" si="11"/>
        <v>https://www.google.com/maps/search/Posides%2C%20Positano%2C%20Italy</v>
      </c>
      <c r="N225" s="19" t="s">
        <v>299</v>
      </c>
      <c r="O225" s="19" t="s">
        <v>1492</v>
      </c>
      <c r="P225" s="25" t="str">
        <f t="shared" si="1"/>
        <v>Positano</v>
      </c>
      <c r="Q225" s="25" t="str">
        <f t="shared" si="2"/>
        <v>Hotel Savoia, Positano, Italy</v>
      </c>
      <c r="R225" s="25" t="str">
        <f>VLOOKUP(A225,'Travel Times'!$A$1:$E$1000,4,0)</f>
        <v>16 mins</v>
      </c>
      <c r="S225" s="25" t="str">
        <f>VLOOKUP(A225,'Travel Times'!$A$1:$E$1000,5,0)</f>
        <v>13 mins</v>
      </c>
    </row>
    <row r="226">
      <c r="A226" s="19" t="s">
        <v>1554</v>
      </c>
      <c r="B226" s="19" t="s">
        <v>61</v>
      </c>
      <c r="C226" s="19" t="s">
        <v>1119</v>
      </c>
      <c r="D226" s="19" t="s">
        <v>1568</v>
      </c>
      <c r="E226" s="19" t="s">
        <v>1578</v>
      </c>
      <c r="F226" s="19" t="s">
        <v>1579</v>
      </c>
      <c r="G226" s="19" t="s">
        <v>1557</v>
      </c>
      <c r="H226" s="19" t="s">
        <v>1564</v>
      </c>
      <c r="I226" s="19" t="s">
        <v>1559</v>
      </c>
      <c r="J226" s="19" t="s">
        <v>1560</v>
      </c>
      <c r="K226" s="19">
        <v>40.6303441</v>
      </c>
      <c r="L226" s="19">
        <v>14.4846042</v>
      </c>
      <c r="M226" s="29" t="str">
        <f t="shared" si="11"/>
        <v>https://www.google.com/maps/search/Casa%20e%20Bottega%2C%20Positano%2C%20Italy</v>
      </c>
      <c r="N226" s="19" t="s">
        <v>299</v>
      </c>
      <c r="O226" s="19" t="s">
        <v>1492</v>
      </c>
      <c r="P226" s="25" t="str">
        <f t="shared" si="1"/>
        <v>Positano</v>
      </c>
      <c r="Q226" s="25" t="str">
        <f t="shared" si="2"/>
        <v>Hotel Savoia, Positano, Italy</v>
      </c>
      <c r="R226" s="25" t="str">
        <f>VLOOKUP(A226,'Travel Times'!$A$1:$E$1000,4,0)</f>
        <v>4 mins</v>
      </c>
      <c r="S226" s="25" t="str">
        <f>VLOOKUP(A226,'Travel Times'!$A$1:$E$1000,5,0)</f>
        <v>16 mins</v>
      </c>
    </row>
    <row r="227">
      <c r="A227" s="19" t="s">
        <v>1580</v>
      </c>
      <c r="B227" s="19" t="s">
        <v>61</v>
      </c>
      <c r="C227" s="19" t="s">
        <v>1119</v>
      </c>
      <c r="D227" s="19" t="s">
        <v>1568</v>
      </c>
      <c r="E227" s="19" t="s">
        <v>1581</v>
      </c>
      <c r="F227" s="19" t="s">
        <v>1582</v>
      </c>
      <c r="G227" s="19" t="s">
        <v>1583</v>
      </c>
      <c r="H227" s="19" t="s">
        <v>1539</v>
      </c>
      <c r="I227" s="19" t="s">
        <v>1584</v>
      </c>
      <c r="J227" s="19" t="s">
        <v>1585</v>
      </c>
      <c r="K227" s="19">
        <v>40.6301419</v>
      </c>
      <c r="L227" s="19">
        <v>14.4859101</v>
      </c>
      <c r="M227" s="29" t="str">
        <f t="shared" si="11"/>
        <v>https://www.google.com/maps/search/Collina%20Positano%20Bakery%2C%20Positano%2C%20Italy</v>
      </c>
      <c r="N227" s="19" t="s">
        <v>299</v>
      </c>
      <c r="O227" s="19" t="s">
        <v>1492</v>
      </c>
      <c r="P227" s="25" t="str">
        <f t="shared" si="1"/>
        <v>Positano</v>
      </c>
      <c r="Q227" s="25" t="str">
        <f t="shared" si="2"/>
        <v>Hotel Savoia, Positano, Italy</v>
      </c>
      <c r="R227" s="25" t="str">
        <f>VLOOKUP(A227,'Travel Times'!$A$1:$E$1000,4,0)</f>
        <v>1 min</v>
      </c>
      <c r="S227" s="25" t="str">
        <f>VLOOKUP(A227,'Travel Times'!$A$1:$E$1000,5,0)</f>
        <v>18 mins</v>
      </c>
    </row>
    <row r="228">
      <c r="A228" s="19" t="s">
        <v>1586</v>
      </c>
      <c r="B228" s="19" t="s">
        <v>365</v>
      </c>
      <c r="C228" s="19" t="s">
        <v>1119</v>
      </c>
      <c r="D228" s="19" t="s">
        <v>1568</v>
      </c>
      <c r="E228" s="19" t="s">
        <v>1587</v>
      </c>
      <c r="F228" s="19" t="s">
        <v>1588</v>
      </c>
      <c r="G228" s="19" t="s">
        <v>660</v>
      </c>
      <c r="H228" s="19" t="s">
        <v>1558</v>
      </c>
      <c r="I228" s="19" t="s">
        <v>1589</v>
      </c>
      <c r="J228" s="19" t="s">
        <v>1590</v>
      </c>
      <c r="K228" s="19">
        <v>40.634426</v>
      </c>
      <c r="L228" s="19">
        <v>14.6023791</v>
      </c>
      <c r="M228" s="29" t="str">
        <f t="shared" si="11"/>
        <v>https://www.google.com/maps/search/Cioccolato%20Andrea%20Pansa%2C%20Amalfi%2C%20Italy</v>
      </c>
      <c r="N228" s="19" t="s">
        <v>299</v>
      </c>
      <c r="O228" s="19" t="s">
        <v>1492</v>
      </c>
      <c r="P228" s="25" t="str">
        <f t="shared" si="1"/>
        <v>Positano</v>
      </c>
      <c r="Q228" s="25" t="str">
        <f t="shared" si="2"/>
        <v>Hotel Savoia, Positano, Italy</v>
      </c>
      <c r="R228" s="25" t="str">
        <f>VLOOKUP(A228,'Travel Times'!$A$1:$E$1000,4,0)</f>
        <v>4 hours 40 mins</v>
      </c>
      <c r="S228" s="25" t="str">
        <f>VLOOKUP(A228,'Travel Times'!$A$1:$E$1000,5,0)</f>
        <v>38 mins</v>
      </c>
    </row>
    <row r="229">
      <c r="A229" s="19" t="s">
        <v>1591</v>
      </c>
      <c r="B229" s="19" t="s">
        <v>61</v>
      </c>
      <c r="C229" s="19" t="s">
        <v>1072</v>
      </c>
      <c r="D229" s="19" t="s">
        <v>1096</v>
      </c>
      <c r="E229" s="19" t="s">
        <v>1592</v>
      </c>
      <c r="F229" s="19" t="s">
        <v>1593</v>
      </c>
      <c r="G229" s="19" t="s">
        <v>1594</v>
      </c>
      <c r="H229" s="19" t="s">
        <v>1595</v>
      </c>
      <c r="I229" s="19" t="s">
        <v>1596</v>
      </c>
      <c r="J229" s="19" t="s">
        <v>1597</v>
      </c>
      <c r="K229" s="19">
        <v>40.6288339</v>
      </c>
      <c r="L229" s="19">
        <v>14.4875825</v>
      </c>
      <c r="M229" s="29" t="str">
        <f t="shared" si="11"/>
        <v>https://www.google.com/maps/search/Franco%27s%20Bar%2C%20Positano%2C%20Italy</v>
      </c>
      <c r="N229" s="19" t="s">
        <v>299</v>
      </c>
      <c r="O229" s="19" t="s">
        <v>1492</v>
      </c>
      <c r="P229" s="25" t="str">
        <f t="shared" si="1"/>
        <v>Positano</v>
      </c>
      <c r="Q229" s="25" t="str">
        <f t="shared" si="2"/>
        <v>Hotel Savoia, Positano, Italy</v>
      </c>
      <c r="R229" s="25" t="str">
        <f>VLOOKUP(A229,'Travel Times'!$A$1:$E$1000,4,0)</f>
        <v>3 mins</v>
      </c>
      <c r="S229" s="25" t="str">
        <f>VLOOKUP(A229,'Travel Times'!$A$1:$E$1000,5,0)</f>
        <v>1 min</v>
      </c>
    </row>
    <row r="230">
      <c r="A230" s="19" t="s">
        <v>1598</v>
      </c>
      <c r="B230" s="19" t="s">
        <v>61</v>
      </c>
      <c r="C230" s="19" t="s">
        <v>1072</v>
      </c>
      <c r="D230" s="19" t="s">
        <v>280</v>
      </c>
      <c r="E230" s="19" t="s">
        <v>1599</v>
      </c>
      <c r="F230" s="19" t="s">
        <v>1600</v>
      </c>
      <c r="G230" s="19" t="s">
        <v>1601</v>
      </c>
      <c r="H230" s="19" t="s">
        <v>295</v>
      </c>
      <c r="I230" s="19" t="s">
        <v>1596</v>
      </c>
      <c r="J230" s="19" t="s">
        <v>1597</v>
      </c>
      <c r="K230" s="19">
        <v>40.6288339</v>
      </c>
      <c r="L230" s="19">
        <v>14.4875825</v>
      </c>
      <c r="M230" s="29" t="str">
        <f t="shared" si="11"/>
        <v>https://www.google.com/maps/search/Champagne%20Bar%20at%20Le%20Sirenuse%2C%20Positano%2C%20Italy</v>
      </c>
      <c r="N230" s="19" t="s">
        <v>299</v>
      </c>
      <c r="O230" s="19" t="s">
        <v>1492</v>
      </c>
      <c r="P230" s="25" t="str">
        <f t="shared" si="1"/>
        <v>Positano</v>
      </c>
      <c r="Q230" s="25" t="str">
        <f t="shared" si="2"/>
        <v>Hotel Savoia, Positano, Italy</v>
      </c>
      <c r="R230" s="25" t="str">
        <f>VLOOKUP(A230,'Travel Times'!$A$1:$E$1000,4,0)</f>
        <v>3 mins</v>
      </c>
      <c r="S230" s="25" t="str">
        <f>VLOOKUP(A230,'Travel Times'!$A$1:$E$1000,5,0)</f>
        <v>1 min</v>
      </c>
    </row>
    <row r="231">
      <c r="A231" s="19" t="s">
        <v>1602</v>
      </c>
      <c r="B231" s="19" t="s">
        <v>61</v>
      </c>
      <c r="C231" s="19" t="s">
        <v>1072</v>
      </c>
      <c r="D231" s="19" t="s">
        <v>1096</v>
      </c>
      <c r="E231" s="19" t="s">
        <v>1603</v>
      </c>
      <c r="F231" s="19" t="s">
        <v>1604</v>
      </c>
      <c r="G231" s="19" t="s">
        <v>1605</v>
      </c>
      <c r="H231" s="19" t="s">
        <v>313</v>
      </c>
      <c r="I231" s="19" t="s">
        <v>1606</v>
      </c>
      <c r="J231" s="19" t="s">
        <v>1607</v>
      </c>
      <c r="K231" s="19">
        <v>40.6281116</v>
      </c>
      <c r="L231" s="19">
        <v>14.4846931</v>
      </c>
      <c r="M231" s="29" t="str">
        <f t="shared" si="11"/>
        <v>https://www.google.com/maps/search/La%20Giara%20Roof%20Top%20Bar%2C%20Positano%2C%20Italy</v>
      </c>
      <c r="N231" s="19" t="s">
        <v>299</v>
      </c>
      <c r="O231" s="19" t="s">
        <v>1492</v>
      </c>
      <c r="P231" s="25" t="str">
        <f t="shared" si="1"/>
        <v>Positano</v>
      </c>
      <c r="Q231" s="25" t="str">
        <f t="shared" si="2"/>
        <v>Hotel Savoia, Positano, Italy</v>
      </c>
      <c r="R231" s="25" t="str">
        <f>VLOOKUP(A231,'Travel Times'!$A$1:$E$1000,4,0)</f>
        <v>12 mins</v>
      </c>
      <c r="S231" s="25" t="str">
        <f>VLOOKUP(A231,'Travel Times'!$A$1:$E$1000,5,0)</f>
        <v>10 mins</v>
      </c>
    </row>
    <row r="232">
      <c r="A232" s="19" t="s">
        <v>1608</v>
      </c>
      <c r="B232" s="19" t="s">
        <v>50</v>
      </c>
      <c r="C232" s="19" t="s">
        <v>1104</v>
      </c>
      <c r="D232" s="19" t="s">
        <v>270</v>
      </c>
      <c r="E232" s="19" t="s">
        <v>1609</v>
      </c>
      <c r="F232" s="19" t="s">
        <v>1610</v>
      </c>
      <c r="G232" s="19" t="s">
        <v>1611</v>
      </c>
      <c r="H232" s="19" t="s">
        <v>356</v>
      </c>
      <c r="I232" s="19" t="s">
        <v>994</v>
      </c>
      <c r="J232" s="19" t="s">
        <v>498</v>
      </c>
      <c r="K232" s="19">
        <v>40.6117319</v>
      </c>
      <c r="L232" s="19">
        <v>14.5335099</v>
      </c>
      <c r="M232" s="29" t="str">
        <f t="shared" si="11"/>
        <v>https://www.google.com/maps/search/Marrakech%20Bar%20at%20Casa%20Angelina%2C%20Praiano%2C%20Italy</v>
      </c>
      <c r="N232" s="19" t="s">
        <v>299</v>
      </c>
      <c r="O232" s="19" t="s">
        <v>1492</v>
      </c>
      <c r="P232" s="25" t="str">
        <f t="shared" si="1"/>
        <v>Positano</v>
      </c>
      <c r="Q232" s="25" t="str">
        <f t="shared" si="2"/>
        <v>Hotel Savoia, Positano, Italy</v>
      </c>
      <c r="R232" s="25" t="str">
        <f>VLOOKUP(A232,'Travel Times'!$A$1:$E$1000,4,0)</f>
        <v>1 hour 47 mins</v>
      </c>
      <c r="S232" s="25" t="str">
        <f>VLOOKUP(A232,'Travel Times'!$A$1:$E$1000,5,0)</f>
        <v>17 mins</v>
      </c>
    </row>
    <row r="233">
      <c r="A233" s="19" t="s">
        <v>1612</v>
      </c>
      <c r="B233" s="19" t="s">
        <v>50</v>
      </c>
      <c r="C233" s="19" t="s">
        <v>1104</v>
      </c>
      <c r="D233" s="19" t="s">
        <v>270</v>
      </c>
      <c r="E233" s="19" t="s">
        <v>1613</v>
      </c>
      <c r="F233" s="19" t="s">
        <v>1614</v>
      </c>
      <c r="G233" s="19" t="s">
        <v>1615</v>
      </c>
      <c r="H233" s="19" t="s">
        <v>1616</v>
      </c>
      <c r="I233" s="19" t="s">
        <v>1617</v>
      </c>
      <c r="J233" s="19" t="s">
        <v>1618</v>
      </c>
      <c r="K233" s="19">
        <v>40.6134828</v>
      </c>
      <c r="L233" s="19">
        <v>14.522514</v>
      </c>
      <c r="M233" s="29" t="str">
        <f t="shared" si="11"/>
        <v>https://www.google.com/maps/search/Vivaro%20Wine%20Bar%2C%20Praiano%2C%20Italy</v>
      </c>
      <c r="N233" s="19" t="s">
        <v>299</v>
      </c>
      <c r="O233" s="19" t="s">
        <v>1492</v>
      </c>
      <c r="P233" s="25" t="str">
        <f t="shared" si="1"/>
        <v>Positano</v>
      </c>
      <c r="Q233" s="25" t="str">
        <f t="shared" si="2"/>
        <v>Hotel Savoia, Positano, Italy</v>
      </c>
      <c r="R233" s="25" t="str">
        <f>VLOOKUP(A233,'Travel Times'!$A$1:$E$1000,4,0)</f>
        <v>1 hour 34 mins</v>
      </c>
      <c r="S233" s="25" t="str">
        <f>VLOOKUP(A233,'Travel Times'!$A$1:$E$1000,5,0)</f>
        <v>13 mins</v>
      </c>
    </row>
    <row r="234">
      <c r="A234" s="19" t="s">
        <v>1619</v>
      </c>
      <c r="B234" s="19" t="s">
        <v>61</v>
      </c>
      <c r="C234" s="19" t="s">
        <v>1104</v>
      </c>
      <c r="D234" s="19" t="s">
        <v>270</v>
      </c>
      <c r="E234" s="19" t="s">
        <v>1620</v>
      </c>
      <c r="F234" s="19" t="s">
        <v>1621</v>
      </c>
      <c r="G234" s="19" t="s">
        <v>1571</v>
      </c>
      <c r="H234" s="19" t="s">
        <v>1622</v>
      </c>
      <c r="I234" s="19" t="s">
        <v>1623</v>
      </c>
      <c r="J234" s="19" t="s">
        <v>1624</v>
      </c>
      <c r="K234" s="19">
        <v>40.6283389</v>
      </c>
      <c r="L234" s="19">
        <v>14.4889435</v>
      </c>
      <c r="M234" s="29" t="str">
        <f t="shared" si="11"/>
        <v>https://www.google.com/maps/search/Ristorante%20Bruno%2C%20Positano%2C%20Italy</v>
      </c>
      <c r="N234" s="19" t="s">
        <v>299</v>
      </c>
      <c r="O234" s="19" t="s">
        <v>1492</v>
      </c>
      <c r="P234" s="25" t="str">
        <f t="shared" si="1"/>
        <v>Positano</v>
      </c>
      <c r="Q234" s="25" t="str">
        <f t="shared" si="2"/>
        <v>Hotel Savoia, Positano, Italy</v>
      </c>
      <c r="R234" s="25" t="str">
        <f>VLOOKUP(A234,'Travel Times'!$A$1:$E$1000,4,0)</f>
        <v>5 mins</v>
      </c>
      <c r="S234" s="25" t="str">
        <f>VLOOKUP(A234,'Travel Times'!$A$1:$E$1000,5,0)</f>
        <v>1 min</v>
      </c>
    </row>
    <row r="235">
      <c r="A235" s="19" t="s">
        <v>1625</v>
      </c>
      <c r="B235" s="19" t="s">
        <v>61</v>
      </c>
      <c r="C235" s="19" t="s">
        <v>1104</v>
      </c>
      <c r="D235" s="19" t="s">
        <v>270</v>
      </c>
      <c r="E235" s="19" t="s">
        <v>1626</v>
      </c>
      <c r="F235" s="19" t="s">
        <v>1627</v>
      </c>
      <c r="G235" s="19" t="s">
        <v>1628</v>
      </c>
      <c r="H235" s="19" t="s">
        <v>1629</v>
      </c>
      <c r="I235" s="19" t="s">
        <v>1630</v>
      </c>
      <c r="J235" s="19" t="s">
        <v>1631</v>
      </c>
      <c r="K235" s="19">
        <v>40.6279487</v>
      </c>
      <c r="L235" s="19">
        <v>14.4863463</v>
      </c>
      <c r="M235" s="29" t="str">
        <f t="shared" si="11"/>
        <v>https://www.google.com/maps/search/Hotel%20Covo%20Dei%20Saraceni%2C%20Positano%2C%20Italy</v>
      </c>
      <c r="N235" s="19" t="s">
        <v>299</v>
      </c>
      <c r="O235" s="19" t="s">
        <v>1492</v>
      </c>
      <c r="P235" s="25" t="str">
        <f t="shared" si="1"/>
        <v>Positano</v>
      </c>
      <c r="Q235" s="25" t="str">
        <f t="shared" si="2"/>
        <v>Hotel Savoia, Positano, Italy</v>
      </c>
      <c r="R235" s="25" t="str">
        <f>VLOOKUP(A235,'Travel Times'!$A$1:$E$1000,4,0)</f>
        <v>6 mins</v>
      </c>
      <c r="S235" s="25" t="str">
        <f>VLOOKUP(A235,'Travel Times'!$A$1:$E$1000,5,0)</f>
        <v>15 mins</v>
      </c>
    </row>
    <row r="236">
      <c r="A236" s="19" t="s">
        <v>1632</v>
      </c>
      <c r="B236" s="19" t="s">
        <v>50</v>
      </c>
      <c r="C236" s="19" t="s">
        <v>345</v>
      </c>
      <c r="D236" s="19" t="s">
        <v>291</v>
      </c>
      <c r="E236" s="19" t="s">
        <v>1633</v>
      </c>
      <c r="F236" s="19" t="s">
        <v>1634</v>
      </c>
      <c r="G236" s="19" t="s">
        <v>1571</v>
      </c>
      <c r="H236" s="19" t="s">
        <v>356</v>
      </c>
      <c r="I236" s="19" t="s">
        <v>1635</v>
      </c>
      <c r="J236" s="19" t="s">
        <v>1636</v>
      </c>
      <c r="K236" s="19">
        <v>40.6120732</v>
      </c>
      <c r="L236" s="19">
        <v>14.5379298</v>
      </c>
      <c r="M236" s="29" t="str">
        <f t="shared" si="11"/>
        <v>https://www.google.com/maps/search/Il%20Pirata%20Ristorante%2C%20Praiano%2C%20Italy</v>
      </c>
      <c r="N236" s="19" t="s">
        <v>299</v>
      </c>
      <c r="O236" s="19" t="s">
        <v>1492</v>
      </c>
      <c r="P236" s="25" t="str">
        <f t="shared" si="1"/>
        <v>Positano</v>
      </c>
      <c r="Q236" s="25" t="str">
        <f t="shared" si="2"/>
        <v>Hotel Savoia, Positano, Italy</v>
      </c>
      <c r="R236" s="25" t="str">
        <f>VLOOKUP(A236,'Travel Times'!$A$1:$E$1000,4,0)</f>
        <v>2 hours 0 mins</v>
      </c>
      <c r="S236" s="25" t="str">
        <f>VLOOKUP(A236,'Travel Times'!$A$1:$E$1000,5,0)</f>
        <v>20 mins</v>
      </c>
    </row>
    <row r="237">
      <c r="A237" s="19" t="s">
        <v>1637</v>
      </c>
      <c r="B237" s="19" t="s">
        <v>50</v>
      </c>
      <c r="C237" s="19" t="s">
        <v>345</v>
      </c>
      <c r="D237" s="19" t="s">
        <v>291</v>
      </c>
      <c r="E237" s="19" t="s">
        <v>1638</v>
      </c>
      <c r="F237" s="19" t="s">
        <v>1639</v>
      </c>
      <c r="G237" s="19" t="s">
        <v>1452</v>
      </c>
      <c r="H237" s="19" t="s">
        <v>1629</v>
      </c>
      <c r="I237" s="19" t="s">
        <v>1640</v>
      </c>
      <c r="J237" s="19" t="s">
        <v>1641</v>
      </c>
      <c r="K237" s="19">
        <v>40.6141569</v>
      </c>
      <c r="L237" s="19">
        <v>14.5224937</v>
      </c>
      <c r="M237" s="29" t="str">
        <f t="shared" si="11"/>
        <v>https://www.google.com/maps/search/La%20Strada%2C%20Praiano%2C%20Italy</v>
      </c>
      <c r="N237" s="19" t="s">
        <v>299</v>
      </c>
      <c r="O237" s="19" t="s">
        <v>1492</v>
      </c>
      <c r="P237" s="25" t="str">
        <f t="shared" si="1"/>
        <v>Positano</v>
      </c>
      <c r="Q237" s="25" t="str">
        <f t="shared" si="2"/>
        <v>Hotel Savoia, Positano, Italy</v>
      </c>
      <c r="R237" s="25" t="str">
        <f>VLOOKUP(A237,'Travel Times'!$A$1:$E$1000,4,0)</f>
        <v>1 hour 35 mins</v>
      </c>
      <c r="S237" s="25" t="str">
        <f>VLOOKUP(A237,'Travel Times'!$A$1:$E$1000,5,0)</f>
        <v>13 mins</v>
      </c>
    </row>
    <row r="238">
      <c r="A238" s="19" t="s">
        <v>1642</v>
      </c>
      <c r="B238" s="19" t="s">
        <v>50</v>
      </c>
      <c r="C238" s="19" t="s">
        <v>345</v>
      </c>
      <c r="D238" s="19" t="s">
        <v>291</v>
      </c>
      <c r="E238" s="19" t="s">
        <v>1643</v>
      </c>
      <c r="F238" s="19" t="s">
        <v>1644</v>
      </c>
      <c r="G238" s="19" t="s">
        <v>1452</v>
      </c>
      <c r="H238" s="19" t="s">
        <v>1645</v>
      </c>
      <c r="I238" s="19" t="s">
        <v>1646</v>
      </c>
      <c r="J238" s="19" t="s">
        <v>1647</v>
      </c>
      <c r="K238" s="19">
        <v>40.65141</v>
      </c>
      <c r="L238" s="19">
        <v>14.6972333</v>
      </c>
      <c r="M238" s="29" t="str">
        <f t="shared" si="11"/>
        <v>https://www.google.com/maps/search/La%20Moressa%20Italian%20Bistr%C3%B2%2C%20Praiano%2C%20Italy</v>
      </c>
      <c r="N238" s="19" t="s">
        <v>299</v>
      </c>
      <c r="O238" s="19" t="s">
        <v>1492</v>
      </c>
      <c r="P238" s="25" t="str">
        <f t="shared" si="1"/>
        <v>Positano</v>
      </c>
      <c r="Q238" s="25" t="str">
        <f t="shared" si="2"/>
        <v>Hotel Savoia, Positano, Italy</v>
      </c>
      <c r="R238" s="25" t="str">
        <f>VLOOKUP(A238,'Travel Times'!$A$1:$E$1000,4,0)</f>
        <v>1 hour 48 mins</v>
      </c>
      <c r="S238" s="25" t="str">
        <f>VLOOKUP(A238,'Travel Times'!$A$1:$E$1000,5,0)</f>
        <v>17 mins</v>
      </c>
    </row>
    <row r="239">
      <c r="A239" s="19" t="s">
        <v>1648</v>
      </c>
      <c r="B239" s="19" t="s">
        <v>61</v>
      </c>
      <c r="C239" s="19" t="s">
        <v>345</v>
      </c>
      <c r="D239" s="19" t="s">
        <v>291</v>
      </c>
      <c r="E239" s="19" t="s">
        <v>1649</v>
      </c>
      <c r="F239" s="19" t="s">
        <v>1650</v>
      </c>
      <c r="G239" s="19" t="s">
        <v>1452</v>
      </c>
      <c r="H239" s="19" t="s">
        <v>1651</v>
      </c>
      <c r="I239" s="19" t="s">
        <v>855</v>
      </c>
      <c r="J239" s="19" t="s">
        <v>856</v>
      </c>
      <c r="K239" s="19">
        <v>40.6263545</v>
      </c>
      <c r="L239" s="19">
        <v>14.4822477</v>
      </c>
      <c r="M239" s="29" t="str">
        <f t="shared" si="11"/>
        <v>https://www.google.com/maps/search/Da%20Ferdinando%2C%20Positano%2C%20Italy</v>
      </c>
      <c r="N239" s="19" t="s">
        <v>299</v>
      </c>
      <c r="O239" s="19" t="s">
        <v>1492</v>
      </c>
      <c r="P239" s="25" t="str">
        <f t="shared" si="1"/>
        <v>Positano</v>
      </c>
      <c r="Q239" s="25" t="str">
        <f t="shared" si="2"/>
        <v>Hotel Savoia, Positano, Italy</v>
      </c>
      <c r="R239" s="25" t="str">
        <f>VLOOKUP(A239,'Travel Times'!$A$1:$E$1000,4,0)</f>
        <v>22 mins</v>
      </c>
      <c r="S239" s="25" t="str">
        <f>VLOOKUP(A239,'Travel Times'!$A$1:$E$1000,5,0)</f>
        <v>13 mins</v>
      </c>
    </row>
    <row r="240">
      <c r="A240" s="19" t="s">
        <v>1652</v>
      </c>
      <c r="B240" s="19" t="s">
        <v>61</v>
      </c>
      <c r="C240" s="19" t="s">
        <v>302</v>
      </c>
      <c r="D240" s="19" t="s">
        <v>291</v>
      </c>
      <c r="E240" s="19" t="s">
        <v>1653</v>
      </c>
      <c r="F240" s="19" t="s">
        <v>1654</v>
      </c>
      <c r="G240" s="19" t="s">
        <v>321</v>
      </c>
      <c r="H240" s="19" t="s">
        <v>295</v>
      </c>
      <c r="I240" s="19" t="s">
        <v>1655</v>
      </c>
      <c r="J240" s="19" t="s">
        <v>1656</v>
      </c>
      <c r="K240" s="19">
        <v>40.6280498</v>
      </c>
      <c r="L240" s="19">
        <v>14.4869969</v>
      </c>
      <c r="M240" s="29" t="str">
        <f t="shared" si="11"/>
        <v>https://www.google.com/maps/search/Chez%20Black%2C%20Positano%2C%20Italy</v>
      </c>
      <c r="N240" s="19" t="s">
        <v>299</v>
      </c>
      <c r="O240" s="19" t="s">
        <v>1492</v>
      </c>
      <c r="P240" s="25" t="str">
        <f t="shared" si="1"/>
        <v>Positano</v>
      </c>
      <c r="Q240" s="25" t="str">
        <f t="shared" si="2"/>
        <v>Hotel Savoia, Positano, Italy</v>
      </c>
      <c r="R240" s="25" t="str">
        <f>VLOOKUP(A240,'Travel Times'!$A$1:$E$1000,4,0)</f>
        <v>6 mins</v>
      </c>
      <c r="S240" s="25" t="str">
        <f>VLOOKUP(A240,'Travel Times'!$A$1:$E$1000,5,0)</f>
        <v>1 min</v>
      </c>
    </row>
    <row r="241">
      <c r="A241" s="19" t="s">
        <v>1567</v>
      </c>
      <c r="B241" s="19" t="s">
        <v>50</v>
      </c>
      <c r="C241" s="19" t="s">
        <v>302</v>
      </c>
      <c r="D241" s="19" t="s">
        <v>291</v>
      </c>
      <c r="E241" s="19" t="s">
        <v>1657</v>
      </c>
      <c r="F241" s="19" t="s">
        <v>1658</v>
      </c>
      <c r="G241" s="19" t="s">
        <v>369</v>
      </c>
      <c r="H241" s="19" t="s">
        <v>362</v>
      </c>
      <c r="I241" s="19" t="s">
        <v>1573</v>
      </c>
      <c r="J241" s="19" t="s">
        <v>1574</v>
      </c>
      <c r="K241" s="19">
        <v>40.6122913</v>
      </c>
      <c r="L241" s="19">
        <v>14.5385018</v>
      </c>
      <c r="M241" s="29" t="str">
        <f t="shared" si="11"/>
        <v>https://www.google.com/maps/search/Ristorante%20Franchino%2C%20Praiano%2C%20Italy</v>
      </c>
      <c r="N241" s="19" t="s">
        <v>299</v>
      </c>
      <c r="O241" s="19" t="s">
        <v>1492</v>
      </c>
      <c r="P241" s="25" t="str">
        <f t="shared" si="1"/>
        <v>Positano</v>
      </c>
      <c r="Q241" s="25" t="str">
        <f t="shared" si="2"/>
        <v>Hotel Savoia, Positano, Italy</v>
      </c>
      <c r="R241" s="25" t="str">
        <f>VLOOKUP(A241,'Travel Times'!$A$1:$E$1000,4,0)</f>
        <v>1 hour 59 mins</v>
      </c>
      <c r="S241" s="25" t="str">
        <f>VLOOKUP(A241,'Travel Times'!$A$1:$E$1000,5,0)</f>
        <v>18 mins</v>
      </c>
    </row>
    <row r="242">
      <c r="A242" s="19" t="s">
        <v>1642</v>
      </c>
      <c r="B242" s="19" t="s">
        <v>50</v>
      </c>
      <c r="C242" s="19" t="s">
        <v>302</v>
      </c>
      <c r="D242" s="19" t="s">
        <v>291</v>
      </c>
      <c r="E242" s="19" t="s">
        <v>1659</v>
      </c>
      <c r="F242" s="19" t="s">
        <v>1660</v>
      </c>
      <c r="G242" s="19" t="s">
        <v>369</v>
      </c>
      <c r="H242" s="19" t="s">
        <v>349</v>
      </c>
      <c r="I242" s="19" t="s">
        <v>1646</v>
      </c>
      <c r="J242" s="19" t="s">
        <v>1647</v>
      </c>
      <c r="K242" s="19">
        <v>40.65141</v>
      </c>
      <c r="L242" s="19">
        <v>14.6972333</v>
      </c>
      <c r="M242" s="29" t="str">
        <f t="shared" si="11"/>
        <v>https://www.google.com/maps/search/La%20Moressa%20Italian%20Bistr%C3%B2%2C%20Praiano%2C%20Italy</v>
      </c>
      <c r="N242" s="19" t="s">
        <v>299</v>
      </c>
      <c r="O242" s="19" t="s">
        <v>1492</v>
      </c>
      <c r="P242" s="25" t="str">
        <f t="shared" si="1"/>
        <v>Positano</v>
      </c>
      <c r="Q242" s="25" t="str">
        <f t="shared" si="2"/>
        <v>Hotel Savoia, Positano, Italy</v>
      </c>
      <c r="R242" s="25" t="str">
        <f>VLOOKUP(A242,'Travel Times'!$A$1:$E$1000,4,0)</f>
        <v>1 hour 48 mins</v>
      </c>
      <c r="S242" s="25" t="str">
        <f>VLOOKUP(A242,'Travel Times'!$A$1:$E$1000,5,0)</f>
        <v>17 mins</v>
      </c>
    </row>
    <row r="243">
      <c r="A243" s="19" t="s">
        <v>1661</v>
      </c>
      <c r="B243" s="19" t="s">
        <v>50</v>
      </c>
      <c r="C243" s="19" t="s">
        <v>440</v>
      </c>
      <c r="D243" s="19" t="s">
        <v>785</v>
      </c>
      <c r="E243" s="19" t="s">
        <v>1662</v>
      </c>
      <c r="F243" s="19" t="s">
        <v>1663</v>
      </c>
      <c r="G243" s="19" t="s">
        <v>1484</v>
      </c>
      <c r="H243" s="19" t="s">
        <v>322</v>
      </c>
      <c r="I243" s="19" t="s">
        <v>1664</v>
      </c>
      <c r="J243" s="19" t="s">
        <v>1665</v>
      </c>
      <c r="K243" s="19">
        <v>40.6132028</v>
      </c>
      <c r="L243" s="19">
        <v>14.521447</v>
      </c>
      <c r="M243" s="29" t="str">
        <f t="shared" si="11"/>
        <v>https://www.google.com/maps/search/La%20Gavitella%20Beach%20Club%2C%20Praiano%2C%20Italy</v>
      </c>
      <c r="N243" s="19" t="s">
        <v>299</v>
      </c>
      <c r="O243" s="19" t="s">
        <v>1492</v>
      </c>
      <c r="P243" s="25" t="str">
        <f t="shared" si="1"/>
        <v>Positano</v>
      </c>
      <c r="Q243" s="25" t="str">
        <f t="shared" si="2"/>
        <v>Hotel Savoia, Positano, Italy</v>
      </c>
      <c r="R243" s="25" t="str">
        <f>VLOOKUP(A243,'Travel Times'!$A$1:$E$1000,4,0)</f>
        <v>1 hour 26 mins</v>
      </c>
      <c r="S243" s="25" t="str">
        <f>VLOOKUP(A243,'Travel Times'!$A$1:$E$1000,5,0)</f>
        <v>13 mins</v>
      </c>
    </row>
    <row r="244">
      <c r="A244" s="19" t="s">
        <v>1666</v>
      </c>
      <c r="B244" s="19" t="s">
        <v>50</v>
      </c>
      <c r="C244" s="19" t="s">
        <v>440</v>
      </c>
      <c r="D244" s="19" t="s">
        <v>785</v>
      </c>
      <c r="E244" s="19" t="s">
        <v>1667</v>
      </c>
      <c r="F244" s="19" t="s">
        <v>1668</v>
      </c>
      <c r="G244" s="19" t="s">
        <v>1484</v>
      </c>
      <c r="H244" s="19" t="s">
        <v>295</v>
      </c>
      <c r="I244" s="19" t="s">
        <v>1664</v>
      </c>
      <c r="J244" s="19" t="s">
        <v>1665</v>
      </c>
      <c r="K244" s="19">
        <v>40.6132028</v>
      </c>
      <c r="L244" s="19">
        <v>14.521447</v>
      </c>
      <c r="M244" s="29" t="str">
        <f t="shared" si="11"/>
        <v>https://www.google.com/maps/search/One%20Fire%20Beach%20Club%2C%20Praiano%2C%20Italy</v>
      </c>
      <c r="N244" s="19" t="s">
        <v>299</v>
      </c>
      <c r="O244" s="19" t="s">
        <v>1492</v>
      </c>
      <c r="P244" s="25" t="str">
        <f t="shared" si="1"/>
        <v>Positano</v>
      </c>
      <c r="Q244" s="25" t="str">
        <f t="shared" si="2"/>
        <v>Hotel Savoia, Positano, Italy</v>
      </c>
      <c r="R244" s="25" t="str">
        <f>VLOOKUP(A244,'Travel Times'!$A$1:$E$1000,4,0)</f>
        <v>1 hour 27 mins</v>
      </c>
      <c r="S244" s="25" t="str">
        <f>VLOOKUP(A244,'Travel Times'!$A$1:$E$1000,5,0)</f>
        <v>13 mins</v>
      </c>
    </row>
    <row r="245">
      <c r="A245" s="19" t="s">
        <v>1669</v>
      </c>
      <c r="B245" s="19" t="s">
        <v>61</v>
      </c>
      <c r="C245" s="19" t="s">
        <v>440</v>
      </c>
      <c r="D245" s="19" t="s">
        <v>785</v>
      </c>
      <c r="E245" s="19" t="s">
        <v>1670</v>
      </c>
      <c r="F245" s="19" t="s">
        <v>1671</v>
      </c>
      <c r="G245" s="19" t="s">
        <v>582</v>
      </c>
      <c r="H245" s="19" t="s">
        <v>1672</v>
      </c>
      <c r="I245" s="19" t="s">
        <v>1673</v>
      </c>
      <c r="J245" s="19" t="s">
        <v>1674</v>
      </c>
      <c r="K245" s="19">
        <v>40.6278258</v>
      </c>
      <c r="L245" s="19">
        <v>14.4884655</v>
      </c>
      <c r="M245" s="29" t="str">
        <f t="shared" si="11"/>
        <v>https://www.google.com/maps/search/Lido%20L%27Incanto%2C%20Positano%2C%20Italy</v>
      </c>
      <c r="N245" s="19" t="s">
        <v>299</v>
      </c>
      <c r="O245" s="19" t="s">
        <v>1492</v>
      </c>
      <c r="P245" s="25" t="str">
        <f t="shared" si="1"/>
        <v>Positano</v>
      </c>
      <c r="Q245" s="25" t="str">
        <f t="shared" si="2"/>
        <v>Hotel Savoia, Positano, Italy</v>
      </c>
      <c r="R245" s="25" t="str">
        <f>VLOOKUP(A245,'Travel Times'!$A$1:$E$1000,4,0)</f>
        <v>7 mins</v>
      </c>
      <c r="S245" s="25" t="str">
        <f>VLOOKUP(A245,'Travel Times'!$A$1:$E$1000,5,0)</f>
        <v>1 min</v>
      </c>
    </row>
    <row r="246">
      <c r="A246" s="19" t="s">
        <v>972</v>
      </c>
      <c r="B246" s="19" t="s">
        <v>61</v>
      </c>
      <c r="C246" s="19" t="s">
        <v>440</v>
      </c>
      <c r="D246" s="19" t="s">
        <v>785</v>
      </c>
      <c r="E246" s="19" t="s">
        <v>1675</v>
      </c>
      <c r="F246" s="19" t="s">
        <v>1676</v>
      </c>
      <c r="G246" s="19" t="s">
        <v>766</v>
      </c>
      <c r="H246" s="19" t="s">
        <v>1677</v>
      </c>
      <c r="I246" s="19" t="s">
        <v>975</v>
      </c>
      <c r="J246" s="19" t="s">
        <v>976</v>
      </c>
      <c r="K246" s="19">
        <v>40.6247046</v>
      </c>
      <c r="L246" s="19">
        <v>14.500676</v>
      </c>
      <c r="M246" s="29" t="str">
        <f t="shared" si="11"/>
        <v>https://www.google.com/maps/search/Arienzo%20Beach%20Club%2C%20Positano%2C%20Italy</v>
      </c>
      <c r="N246" s="19" t="s">
        <v>299</v>
      </c>
      <c r="O246" s="19" t="s">
        <v>1492</v>
      </c>
      <c r="P246" s="25" t="str">
        <f t="shared" si="1"/>
        <v>Positano</v>
      </c>
      <c r="Q246" s="25" t="str">
        <f t="shared" si="2"/>
        <v>Hotel Savoia, Positano, Italy</v>
      </c>
      <c r="R246" s="25" t="str">
        <f>VLOOKUP(A246,'Travel Times'!$A$1:$E$1000,4,0)</f>
        <v>25 mins</v>
      </c>
      <c r="S246" s="25" t="str">
        <f>VLOOKUP(A246,'Travel Times'!$A$1:$E$1000,5,0)</f>
        <v>4 mins</v>
      </c>
    </row>
    <row r="247">
      <c r="A247" s="19" t="s">
        <v>1678</v>
      </c>
      <c r="B247" s="19" t="s">
        <v>50</v>
      </c>
      <c r="C247" s="19" t="s">
        <v>440</v>
      </c>
      <c r="D247" s="19" t="s">
        <v>785</v>
      </c>
      <c r="E247" s="19" t="s">
        <v>1679</v>
      </c>
      <c r="F247" s="19" t="s">
        <v>1680</v>
      </c>
      <c r="G247" s="19" t="s">
        <v>582</v>
      </c>
      <c r="H247" s="19" t="s">
        <v>1595</v>
      </c>
      <c r="I247" s="19" t="s">
        <v>979</v>
      </c>
      <c r="J247" s="19" t="s">
        <v>510</v>
      </c>
      <c r="K247" s="19">
        <v>40.6134729</v>
      </c>
      <c r="L247" s="19">
        <v>14.5394424</v>
      </c>
      <c r="M247" s="29" t="str">
        <f t="shared" si="11"/>
        <v>https://www.google.com/maps/search/Marina%20di%20Praia%20Beach%2C%20Praiano%2C%20Italy</v>
      </c>
      <c r="N247" s="19" t="s">
        <v>299</v>
      </c>
      <c r="O247" s="19" t="s">
        <v>1492</v>
      </c>
      <c r="P247" s="25" t="str">
        <f t="shared" si="1"/>
        <v>Positano</v>
      </c>
      <c r="Q247" s="25" t="str">
        <f t="shared" si="2"/>
        <v>Hotel Savoia, Positano, Italy</v>
      </c>
      <c r="R247" s="25" t="str">
        <f>VLOOKUP(A247,'Travel Times'!$A$1:$E$1000,4,0)</f>
        <v>2 hours 4 mins</v>
      </c>
      <c r="S247" s="25" t="str">
        <f>VLOOKUP(A247,'Travel Times'!$A$1:$E$1000,5,0)</f>
        <v>20 mins</v>
      </c>
    </row>
    <row r="248">
      <c r="A248" s="19" t="s">
        <v>1681</v>
      </c>
      <c r="B248" s="19" t="s">
        <v>50</v>
      </c>
      <c r="C248" s="19" t="s">
        <v>876</v>
      </c>
      <c r="D248" s="19" t="s">
        <v>727</v>
      </c>
      <c r="E248" s="19" t="s">
        <v>1682</v>
      </c>
      <c r="F248" s="19" t="s">
        <v>1683</v>
      </c>
      <c r="G248" s="19" t="s">
        <v>1684</v>
      </c>
      <c r="H248" s="19" t="s">
        <v>1139</v>
      </c>
      <c r="I248" s="19" t="s">
        <v>1685</v>
      </c>
      <c r="J248" s="19" t="s">
        <v>1686</v>
      </c>
      <c r="K248" s="19">
        <v>40.6122233</v>
      </c>
      <c r="L248" s="19">
        <v>14.5292426</v>
      </c>
      <c r="M248" s="29" t="str">
        <f t="shared" si="11"/>
        <v>https://www.google.com/maps/search/Path%20of%20the%20Gods%20Trailhead%2C%20Praiano%2C%20Italy</v>
      </c>
      <c r="N248" s="19" t="s">
        <v>299</v>
      </c>
      <c r="O248" s="19" t="s">
        <v>1492</v>
      </c>
      <c r="P248" s="25" t="str">
        <f t="shared" si="1"/>
        <v>Positano</v>
      </c>
      <c r="Q248" s="25" t="str">
        <f t="shared" si="2"/>
        <v>Hotel Savoia, Positano, Italy</v>
      </c>
      <c r="R248" s="25" t="str">
        <f>VLOOKUP(A248,'Travel Times'!$A$1:$E$1000,4,0)</f>
        <v>1 hour 49 mins</v>
      </c>
      <c r="S248" s="25" t="str">
        <f>VLOOKUP(A248,'Travel Times'!$A$1:$E$1000,5,0)</f>
        <v>17 mins</v>
      </c>
    </row>
    <row r="249">
      <c r="A249" s="19" t="s">
        <v>1687</v>
      </c>
      <c r="B249" s="19" t="s">
        <v>335</v>
      </c>
      <c r="C249" s="19" t="s">
        <v>469</v>
      </c>
      <c r="D249" s="19" t="s">
        <v>1688</v>
      </c>
      <c r="E249" s="19" t="s">
        <v>1689</v>
      </c>
      <c r="F249" s="19" t="s">
        <v>1690</v>
      </c>
      <c r="G249" s="19" t="s">
        <v>1691</v>
      </c>
      <c r="H249" s="19" t="s">
        <v>1692</v>
      </c>
      <c r="I249" s="19" t="s">
        <v>1693</v>
      </c>
      <c r="J249" s="19" t="s">
        <v>1694</v>
      </c>
      <c r="K249" s="19">
        <v>40.6166038</v>
      </c>
      <c r="L249" s="19">
        <v>14.5752597</v>
      </c>
      <c r="M249" s="29" t="str">
        <f t="shared" si="11"/>
        <v>https://www.google.com/maps/search/Grotta%20dello%20Smeraldo%2C%20Conca%20dei%20Marini%2C%20Italy</v>
      </c>
      <c r="N249" s="19" t="s">
        <v>299</v>
      </c>
      <c r="O249" s="19" t="s">
        <v>1492</v>
      </c>
      <c r="P249" s="25" t="str">
        <f t="shared" si="1"/>
        <v>Positano</v>
      </c>
      <c r="Q249" s="25" t="str">
        <f t="shared" si="2"/>
        <v>Hotel Savoia, Positano, Italy</v>
      </c>
      <c r="R249" s="25" t="str">
        <f>VLOOKUP(A249,'Travel Times'!$A$1:$E$1000,4,0)</f>
        <v>4 hours 31 mins</v>
      </c>
      <c r="S249" s="25" t="str">
        <f>VLOOKUP(A249,'Travel Times'!$A$1:$E$1000,5,0)</f>
        <v>24 mins</v>
      </c>
    </row>
    <row r="250">
      <c r="A250" s="19" t="s">
        <v>1695</v>
      </c>
      <c r="B250" s="19" t="s">
        <v>50</v>
      </c>
      <c r="C250" s="19" t="s">
        <v>1696</v>
      </c>
      <c r="D250" s="19" t="s">
        <v>571</v>
      </c>
      <c r="E250" s="19" t="s">
        <v>1697</v>
      </c>
      <c r="F250" s="19" t="s">
        <v>1698</v>
      </c>
      <c r="G250" s="19" t="s">
        <v>1557</v>
      </c>
      <c r="H250" s="19" t="s">
        <v>1139</v>
      </c>
      <c r="I250" s="19" t="s">
        <v>1699</v>
      </c>
      <c r="J250" s="19" t="s">
        <v>1700</v>
      </c>
      <c r="K250" s="19">
        <v>40.6110807</v>
      </c>
      <c r="L250" s="19">
        <v>14.5303098</v>
      </c>
      <c r="M250" s="29" t="str">
        <f t="shared" si="11"/>
        <v>https://www.google.com/maps/search/Church%20of%20San%20Luca%20Evangelista%2C%20Praiano%2C%20Italy</v>
      </c>
      <c r="N250" s="19" t="s">
        <v>299</v>
      </c>
      <c r="O250" s="19" t="s">
        <v>1492</v>
      </c>
      <c r="P250" s="25" t="str">
        <f t="shared" si="1"/>
        <v>Positano</v>
      </c>
      <c r="Q250" s="25" t="str">
        <f t="shared" si="2"/>
        <v>Hotel Savoia, Positano, Italy</v>
      </c>
      <c r="R250" s="25" t="str">
        <f>VLOOKUP(A250,'Travel Times'!$A$1:$E$1000,4,0)</f>
        <v>1 hour 51 mins</v>
      </c>
      <c r="S250" s="25" t="str">
        <f>VLOOKUP(A250,'Travel Times'!$A$1:$E$1000,5,0)</f>
        <v>18 mins</v>
      </c>
    </row>
    <row r="251">
      <c r="A251" s="19" t="s">
        <v>1701</v>
      </c>
      <c r="B251" s="19" t="s">
        <v>50</v>
      </c>
      <c r="C251" s="19" t="s">
        <v>1696</v>
      </c>
      <c r="D251" s="19" t="s">
        <v>571</v>
      </c>
      <c r="E251" s="19" t="s">
        <v>1702</v>
      </c>
      <c r="F251" s="19" t="s">
        <v>1703</v>
      </c>
      <c r="G251" s="19" t="s">
        <v>1684</v>
      </c>
      <c r="H251" s="19" t="s">
        <v>1139</v>
      </c>
      <c r="I251" s="19" t="s">
        <v>1704</v>
      </c>
      <c r="J251" s="19" t="s">
        <v>1705</v>
      </c>
      <c r="K251" s="19">
        <v>40.6168807</v>
      </c>
      <c r="L251" s="19">
        <v>14.5202837</v>
      </c>
      <c r="M251" s="29" t="str">
        <f t="shared" si="11"/>
        <v>https://www.google.com/maps/search/Convent%20of%20San%20Domenico%2C%20Praiano%2C%20Italy</v>
      </c>
      <c r="N251" s="19" t="s">
        <v>299</v>
      </c>
      <c r="O251" s="19" t="s">
        <v>1492</v>
      </c>
      <c r="P251" s="25" t="str">
        <f t="shared" si="1"/>
        <v>Positano</v>
      </c>
      <c r="Q251" s="25" t="str">
        <f t="shared" si="2"/>
        <v>Hotel Savoia, Positano, Italy</v>
      </c>
      <c r="R251" s="25" t="str">
        <f>VLOOKUP(A251,'Travel Times'!$A$1:$E$1000,4,0)</f>
        <v>1 hour 55 mins</v>
      </c>
      <c r="S251" s="25" t="str">
        <f>VLOOKUP(A251,'Travel Times'!$A$1:$E$1000,5,0)</f>
        <v>18 mins</v>
      </c>
    </row>
    <row r="252">
      <c r="A252" s="19" t="s">
        <v>1706</v>
      </c>
      <c r="B252" s="19" t="s">
        <v>365</v>
      </c>
      <c r="C252" s="19" t="s">
        <v>1696</v>
      </c>
      <c r="D252" s="19" t="s">
        <v>571</v>
      </c>
      <c r="E252" s="19" t="s">
        <v>1707</v>
      </c>
      <c r="F252" s="19" t="s">
        <v>1708</v>
      </c>
      <c r="G252" s="19" t="s">
        <v>582</v>
      </c>
      <c r="H252" s="19" t="s">
        <v>1709</v>
      </c>
      <c r="I252" s="19" t="s">
        <v>1710</v>
      </c>
      <c r="J252" s="19" t="s">
        <v>1711</v>
      </c>
      <c r="K252" s="19">
        <v>40.6344154</v>
      </c>
      <c r="L252" s="19">
        <v>14.6026131</v>
      </c>
      <c r="M252" s="29" t="str">
        <f t="shared" si="11"/>
        <v>https://www.google.com/maps/search/Amalfi%20Cathedral%2C%20Amalfi%2C%20Italy</v>
      </c>
      <c r="N252" s="19" t="s">
        <v>299</v>
      </c>
      <c r="O252" s="19" t="s">
        <v>1492</v>
      </c>
      <c r="P252" s="25" t="str">
        <f t="shared" si="1"/>
        <v>Positano</v>
      </c>
      <c r="Q252" s="25" t="str">
        <f t="shared" si="2"/>
        <v>Hotel Savoia, Positano, Italy</v>
      </c>
      <c r="R252" s="25" t="str">
        <f>VLOOKUP(A252,'Travel Times'!$A$1:$E$1000,4,0)</f>
        <v>4 hours 41 mins</v>
      </c>
      <c r="S252" s="25" t="str">
        <f>VLOOKUP(A252,'Travel Times'!$A$1:$E$1000,5,0)</f>
        <v>37 mins</v>
      </c>
    </row>
    <row r="253">
      <c r="A253" s="19" t="s">
        <v>1712</v>
      </c>
      <c r="B253" s="19" t="s">
        <v>61</v>
      </c>
      <c r="C253" s="19" t="s">
        <v>1696</v>
      </c>
      <c r="D253" s="19" t="s">
        <v>571</v>
      </c>
      <c r="E253" s="19" t="s">
        <v>1713</v>
      </c>
      <c r="F253" s="19" t="s">
        <v>1714</v>
      </c>
      <c r="G253" s="19" t="s">
        <v>1715</v>
      </c>
      <c r="H253" s="19" t="s">
        <v>1139</v>
      </c>
      <c r="I253" s="19" t="s">
        <v>840</v>
      </c>
      <c r="J253" s="19" t="s">
        <v>841</v>
      </c>
      <c r="K253" s="19">
        <v>40.6283686</v>
      </c>
      <c r="L253" s="19">
        <v>14.4865314</v>
      </c>
      <c r="M253" s="29" t="str">
        <f t="shared" si="11"/>
        <v>https://www.google.com/maps/search/Church%20of%20Santa%20Maria%20Assunta%2C%20Positano%2C%20Italy</v>
      </c>
      <c r="N253" s="19" t="s">
        <v>299</v>
      </c>
      <c r="O253" s="19" t="s">
        <v>1492</v>
      </c>
      <c r="P253" s="25" t="str">
        <f t="shared" si="1"/>
        <v>Positano</v>
      </c>
      <c r="Q253" s="25" t="str">
        <f t="shared" si="2"/>
        <v>Hotel Savoia, Positano, Italy</v>
      </c>
      <c r="R253" s="25" t="str">
        <f>VLOOKUP(A253,'Travel Times'!$A$1:$E$1000,4,0)</f>
        <v>4 mins</v>
      </c>
      <c r="S253" s="25" t="str">
        <f>VLOOKUP(A253,'Travel Times'!$A$1:$E$1000,5,0)</f>
        <v>1 min</v>
      </c>
    </row>
    <row r="254">
      <c r="A254" s="19" t="s">
        <v>1716</v>
      </c>
      <c r="B254" s="19" t="s">
        <v>61</v>
      </c>
      <c r="C254" s="19" t="s">
        <v>1717</v>
      </c>
      <c r="D254" s="19" t="s">
        <v>291</v>
      </c>
      <c r="E254" s="19" t="s">
        <v>1718</v>
      </c>
      <c r="F254" s="19" t="s">
        <v>1719</v>
      </c>
      <c r="I254" s="9" t="s">
        <v>1720</v>
      </c>
      <c r="J254" s="9" t="s">
        <v>1721</v>
      </c>
      <c r="K254" s="9">
        <v>40.6281008</v>
      </c>
      <c r="L254" s="9">
        <v>14.4871033</v>
      </c>
      <c r="M254" s="29" t="str">
        <f t="shared" si="11"/>
        <v>https://www.google.com/maps/search/Ristorante%20La%20Cambusa%2C%20Positano%2C%20Italy</v>
      </c>
      <c r="N254" s="24" t="s">
        <v>397</v>
      </c>
      <c r="O254" s="19" t="s">
        <v>1722</v>
      </c>
      <c r="P254" s="25" t="str">
        <f t="shared" si="1"/>
        <v>Positano</v>
      </c>
      <c r="Q254" s="25" t="str">
        <f t="shared" si="2"/>
        <v>Hotel Savoia, Positano, Italy</v>
      </c>
      <c r="R254" s="25" t="str">
        <f>VLOOKUP(A254,'Travel Times'!$A$1:$E$1000,4,0)</f>
        <v>6 mins</v>
      </c>
      <c r="S254" s="25" t="str">
        <f>VLOOKUP(A254,'Travel Times'!$A$1:$E$1000,5,0)</f>
        <v>1 min</v>
      </c>
    </row>
    <row r="255">
      <c r="A255" s="19" t="s">
        <v>1554</v>
      </c>
      <c r="B255" s="19" t="s">
        <v>61</v>
      </c>
      <c r="C255" s="19" t="s">
        <v>1723</v>
      </c>
      <c r="D255" s="19" t="s">
        <v>291</v>
      </c>
      <c r="E255" s="19" t="s">
        <v>1724</v>
      </c>
      <c r="F255" s="19" t="s">
        <v>1725</v>
      </c>
      <c r="I255" s="9" t="s">
        <v>1559</v>
      </c>
      <c r="J255" s="9" t="s">
        <v>1560</v>
      </c>
      <c r="K255" s="9">
        <v>40.6303441</v>
      </c>
      <c r="L255" s="9">
        <v>14.4846042</v>
      </c>
      <c r="M255" s="29" t="str">
        <f t="shared" si="11"/>
        <v>https://www.google.com/maps/search/Casa%20e%20Bottega%2C%20Positano%2C%20Italy</v>
      </c>
      <c r="N255" s="24" t="s">
        <v>397</v>
      </c>
      <c r="O255" s="19" t="s">
        <v>1722</v>
      </c>
      <c r="P255" s="25" t="str">
        <f t="shared" si="1"/>
        <v>Positano</v>
      </c>
      <c r="Q255" s="25" t="str">
        <f t="shared" si="2"/>
        <v>Hotel Savoia, Positano, Italy</v>
      </c>
      <c r="R255" s="25" t="str">
        <f>VLOOKUP(A255,'Travel Times'!$A$1:$E$1000,4,0)</f>
        <v>4 mins</v>
      </c>
      <c r="S255" s="25" t="str">
        <f>VLOOKUP(A255,'Travel Times'!$A$1:$E$1000,5,0)</f>
        <v>16 mins</v>
      </c>
    </row>
    <row r="256">
      <c r="A256" s="19" t="s">
        <v>1726</v>
      </c>
      <c r="B256" s="19" t="s">
        <v>61</v>
      </c>
      <c r="C256" s="19" t="s">
        <v>1727</v>
      </c>
      <c r="D256" s="19" t="s">
        <v>291</v>
      </c>
      <c r="E256" s="19" t="s">
        <v>1728</v>
      </c>
      <c r="F256" s="19" t="s">
        <v>1729</v>
      </c>
      <c r="I256" s="9" t="s">
        <v>1730</v>
      </c>
      <c r="J256" s="9" t="s">
        <v>1731</v>
      </c>
      <c r="K256" s="9">
        <v>40.6274108</v>
      </c>
      <c r="L256" s="9">
        <v>14.4845181</v>
      </c>
      <c r="M256" s="29" t="str">
        <f t="shared" si="11"/>
        <v>https://www.google.com/maps/search/Ristorante%20Il%20Capitano%2C%20Positano%2C%20Italy</v>
      </c>
      <c r="N256" s="24" t="s">
        <v>397</v>
      </c>
      <c r="O256" s="19" t="s">
        <v>1722</v>
      </c>
      <c r="P256" s="25" t="str">
        <f t="shared" si="1"/>
        <v>Positano</v>
      </c>
      <c r="Q256" s="25" t="str">
        <f t="shared" si="2"/>
        <v>Hotel Savoia, Positano, Italy</v>
      </c>
      <c r="R256" s="25" t="str">
        <f>VLOOKUP(A256,'Travel Times'!$A$1:$E$1000,4,0)</f>
        <v>11 mins</v>
      </c>
      <c r="S256" s="25" t="str">
        <f>VLOOKUP(A256,'Travel Times'!$A$1:$E$1000,5,0)</f>
        <v>14 mins</v>
      </c>
    </row>
    <row r="257">
      <c r="A257" s="19" t="s">
        <v>1732</v>
      </c>
      <c r="B257" s="19" t="s">
        <v>61</v>
      </c>
      <c r="C257" s="19" t="s">
        <v>1733</v>
      </c>
      <c r="D257" s="19" t="s">
        <v>291</v>
      </c>
      <c r="E257" s="19" t="s">
        <v>1734</v>
      </c>
      <c r="F257" s="19" t="s">
        <v>1735</v>
      </c>
      <c r="I257" s="9" t="s">
        <v>1623</v>
      </c>
      <c r="J257" s="9" t="s">
        <v>1624</v>
      </c>
      <c r="K257" s="9">
        <v>40.6283389</v>
      </c>
      <c r="L257" s="9">
        <v>14.4889435</v>
      </c>
      <c r="M257" s="29" t="str">
        <f t="shared" si="11"/>
        <v>https://www.google.com/maps/search/Ristorante%20Da%20Bruno%2C%20Positano%2C%20Italy</v>
      </c>
      <c r="N257" s="24" t="s">
        <v>397</v>
      </c>
      <c r="O257" s="19" t="s">
        <v>1722</v>
      </c>
      <c r="P257" s="25" t="str">
        <f t="shared" si="1"/>
        <v>Positano</v>
      </c>
      <c r="Q257" s="25" t="str">
        <f t="shared" si="2"/>
        <v>Hotel Savoia, Positano, Italy</v>
      </c>
      <c r="R257" s="25" t="str">
        <f>VLOOKUP(A257,'Travel Times'!$A$1:$E$1000,4,0)</f>
        <v>5 mins</v>
      </c>
      <c r="S257" s="25" t="str">
        <f>VLOOKUP(A257,'Travel Times'!$A$1:$E$1000,5,0)</f>
        <v>1 min</v>
      </c>
    </row>
    <row r="258">
      <c r="A258" s="19" t="s">
        <v>1736</v>
      </c>
      <c r="B258" s="19" t="s">
        <v>61</v>
      </c>
      <c r="C258" s="19" t="s">
        <v>1737</v>
      </c>
      <c r="D258" s="19" t="s">
        <v>291</v>
      </c>
      <c r="E258" s="19" t="s">
        <v>1738</v>
      </c>
      <c r="F258" s="19" t="s">
        <v>1739</v>
      </c>
      <c r="I258" s="9" t="s">
        <v>1740</v>
      </c>
      <c r="J258" s="9" t="s">
        <v>1741</v>
      </c>
      <c r="K258" s="9">
        <v>40.6288985</v>
      </c>
      <c r="L258" s="9">
        <v>14.4849206</v>
      </c>
      <c r="M258" s="29" t="str">
        <f t="shared" si="11"/>
        <v>https://www.google.com/maps/search/Il%20Tridente%20Positano%2C%20Positano%2C%20Italy</v>
      </c>
      <c r="N258" s="24" t="s">
        <v>397</v>
      </c>
      <c r="O258" s="19" t="s">
        <v>1722</v>
      </c>
      <c r="P258" s="25" t="str">
        <f t="shared" si="1"/>
        <v>Positano</v>
      </c>
      <c r="Q258" s="25" t="str">
        <f t="shared" si="2"/>
        <v>Hotel Savoia, Positano, Italy</v>
      </c>
      <c r="R258" s="25" t="str">
        <f>VLOOKUP(A258,'Travel Times'!$A$1:$E$1000,4,0)</f>
        <v>8 mins</v>
      </c>
      <c r="S258" s="25" t="str">
        <f>VLOOKUP(A258,'Travel Times'!$A$1:$E$1000,5,0)</f>
        <v>15 mins</v>
      </c>
    </row>
    <row r="259">
      <c r="A259" s="19" t="s">
        <v>1742</v>
      </c>
      <c r="B259" s="19" t="s">
        <v>61</v>
      </c>
      <c r="C259" s="19" t="s">
        <v>1743</v>
      </c>
      <c r="D259" s="19" t="s">
        <v>1744</v>
      </c>
      <c r="E259" s="19" t="s">
        <v>1743</v>
      </c>
      <c r="F259" s="19" t="s">
        <v>1743</v>
      </c>
      <c r="I259" s="9" t="s">
        <v>1745</v>
      </c>
      <c r="J259" s="9" t="s">
        <v>1746</v>
      </c>
      <c r="K259" s="9">
        <v>40.6278626</v>
      </c>
      <c r="L259" s="9">
        <v>14.4864473</v>
      </c>
      <c r="M259" s="29" t="str">
        <f t="shared" si="11"/>
        <v>https://www.google.com/maps/search/Grassi%20Junior%20Boat%20Rental%2C%20Positano%2C%20Italy</v>
      </c>
      <c r="N259" s="19" t="s">
        <v>230</v>
      </c>
      <c r="O259" s="19" t="s">
        <v>61</v>
      </c>
      <c r="P259" s="25" t="str">
        <f t="shared" si="1"/>
        <v>Positano</v>
      </c>
      <c r="Q259" s="25" t="str">
        <f t="shared" si="2"/>
        <v>Hotel Savoia, Positano, Italy</v>
      </c>
      <c r="R259" s="25" t="str">
        <f>VLOOKUP(A259,'Travel Times'!$A$1:$E$1000,4,0)</f>
        <v>6 mins</v>
      </c>
      <c r="S259" s="25" t="str">
        <f>VLOOKUP(A259,'Travel Times'!$A$1:$E$1000,5,0)</f>
        <v>15 mins</v>
      </c>
    </row>
    <row r="260" ht="16.5" customHeight="1">
      <c r="A260" s="19" t="s">
        <v>1591</v>
      </c>
      <c r="B260" s="19" t="s">
        <v>61</v>
      </c>
      <c r="C260" s="19" t="s">
        <v>1747</v>
      </c>
      <c r="D260" s="19" t="s">
        <v>543</v>
      </c>
      <c r="E260" s="19" t="s">
        <v>1748</v>
      </c>
      <c r="I260" s="9" t="s">
        <v>1596</v>
      </c>
      <c r="J260" s="9" t="s">
        <v>1597</v>
      </c>
      <c r="K260" s="9">
        <v>40.6288339</v>
      </c>
      <c r="L260" s="9">
        <v>14.4875825</v>
      </c>
      <c r="M260" s="29" t="str">
        <f t="shared" si="11"/>
        <v>https://www.google.com/maps/search/Franco%27s%20Bar%2C%20Positano%2C%20Italy</v>
      </c>
      <c r="N260" s="19" t="s">
        <v>230</v>
      </c>
      <c r="O260" s="19" t="s">
        <v>61</v>
      </c>
      <c r="P260" s="25" t="str">
        <f t="shared" si="1"/>
        <v>Positano</v>
      </c>
      <c r="Q260" s="25" t="str">
        <f t="shared" si="2"/>
        <v>Hotel Savoia, Positano, Italy</v>
      </c>
      <c r="R260" s="25" t="str">
        <f>VLOOKUP(A260,'Travel Times'!$A$1:$E$1000,4,0)</f>
        <v>3 mins</v>
      </c>
      <c r="S260" s="25" t="str">
        <f>VLOOKUP(A260,'Travel Times'!$A$1:$E$1000,5,0)</f>
        <v>1 min</v>
      </c>
    </row>
    <row r="261" ht="16.5" customHeight="1">
      <c r="A261" s="19" t="s">
        <v>1749</v>
      </c>
      <c r="B261" s="19" t="s">
        <v>61</v>
      </c>
      <c r="C261" s="19" t="s">
        <v>1750</v>
      </c>
      <c r="D261" s="19" t="s">
        <v>1751</v>
      </c>
      <c r="E261" s="19" t="s">
        <v>1752</v>
      </c>
      <c r="I261" s="9" t="s">
        <v>1753</v>
      </c>
      <c r="J261" s="9" t="s">
        <v>934</v>
      </c>
      <c r="K261" s="9">
        <v>40.6294824</v>
      </c>
      <c r="L261" s="9">
        <v>14.4823462</v>
      </c>
      <c r="M261" s="29" t="str">
        <f t="shared" si="11"/>
        <v>https://www.google.com/maps/search/Music%20on%20the%20Rocks%2C%20Positano%2C%20Italy</v>
      </c>
      <c r="N261" s="19" t="s">
        <v>230</v>
      </c>
      <c r="O261" s="19" t="s">
        <v>61</v>
      </c>
      <c r="P261" s="25" t="str">
        <f t="shared" si="1"/>
        <v>Positano</v>
      </c>
      <c r="Q261" s="25" t="str">
        <f t="shared" si="2"/>
        <v>Hotel Savoia, Positano, Italy</v>
      </c>
      <c r="R261" s="25" t="str">
        <f>VLOOKUP(A261,'Travel Times'!$A$1:$E$1000,4,0)</f>
        <v>8 mins</v>
      </c>
      <c r="S261" s="25" t="str">
        <f>VLOOKUP(A261,'Travel Times'!$A$1:$E$1000,5,0)</f>
        <v>2 mins</v>
      </c>
    </row>
    <row r="262">
      <c r="A262" s="19" t="s">
        <v>1754</v>
      </c>
      <c r="B262" s="19" t="s">
        <v>61</v>
      </c>
      <c r="C262" s="19" t="s">
        <v>408</v>
      </c>
      <c r="D262" s="19" t="s">
        <v>291</v>
      </c>
      <c r="E262" s="19" t="s">
        <v>1755</v>
      </c>
      <c r="I262" s="9" t="s">
        <v>1730</v>
      </c>
      <c r="J262" s="9" t="s">
        <v>1731</v>
      </c>
      <c r="K262" s="9">
        <v>40.6274108</v>
      </c>
      <c r="L262" s="9">
        <v>14.4845181</v>
      </c>
      <c r="M262" s="29" t="str">
        <f t="shared" si="11"/>
        <v>https://www.google.com/maps/search/Il%20Capitano%2C%20Positano%2C%20Italy</v>
      </c>
      <c r="N262" s="19" t="s">
        <v>230</v>
      </c>
      <c r="O262" s="19" t="s">
        <v>61</v>
      </c>
      <c r="P262" s="25" t="str">
        <f t="shared" si="1"/>
        <v>Positano</v>
      </c>
      <c r="Q262" s="25" t="str">
        <f t="shared" si="2"/>
        <v>Hotel Savoia, Positano, Italy</v>
      </c>
      <c r="R262" s="25" t="str">
        <f>VLOOKUP(A262,'Travel Times'!$A$1:$E$1000,4,0)</f>
        <v>11 min</v>
      </c>
      <c r="S262" s="25" t="str">
        <f>VLOOKUP(A262,'Travel Times'!$A$1:$E$1000,5,0)</f>
        <v>11 min</v>
      </c>
    </row>
    <row r="263">
      <c r="A263" s="19" t="s">
        <v>1756</v>
      </c>
      <c r="B263" s="19" t="s">
        <v>243</v>
      </c>
      <c r="C263" s="19" t="s">
        <v>1757</v>
      </c>
      <c r="D263" s="19" t="s">
        <v>1751</v>
      </c>
      <c r="E263" s="19" t="s">
        <v>1757</v>
      </c>
      <c r="F263" s="19" t="s">
        <v>1758</v>
      </c>
      <c r="I263" s="9" t="s">
        <v>1759</v>
      </c>
      <c r="J263" s="9" t="s">
        <v>1760</v>
      </c>
      <c r="K263" s="9">
        <v>40.5501048</v>
      </c>
      <c r="L263" s="9">
        <v>14.2440422</v>
      </c>
      <c r="M263" s="29" t="str">
        <f t="shared" si="11"/>
        <v>https://www.google.com/maps/search/Taverna%20Anema%20e%20Core%2C%20Capri%2C%20Italy</v>
      </c>
      <c r="N263" s="19" t="s">
        <v>230</v>
      </c>
      <c r="O263" s="19" t="s">
        <v>243</v>
      </c>
      <c r="P263" s="25" t="str">
        <f t="shared" si="1"/>
        <v>Capri</v>
      </c>
      <c r="Q263" s="25" t="str">
        <f t="shared" si="2"/>
        <v>La Residenza, Capri, Italy</v>
      </c>
      <c r="R263" s="25" t="str">
        <f>VLOOKUP(A263,'Travel Times'!$A$1:$E$1000,4,0)</f>
        <v>2 min</v>
      </c>
      <c r="S263" s="25" t="str">
        <f>VLOOKUP(A263,'Travel Times'!$A$1:$E$1000,5,0)</f>
        <v>2 min</v>
      </c>
    </row>
    <row r="264">
      <c r="A264" s="19" t="s">
        <v>1761</v>
      </c>
      <c r="B264" s="19" t="s">
        <v>61</v>
      </c>
      <c r="C264" s="19" t="s">
        <v>1762</v>
      </c>
      <c r="D264" s="9" t="s">
        <v>1763</v>
      </c>
      <c r="E264" s="19" t="s">
        <v>1764</v>
      </c>
      <c r="F264" s="19" t="s">
        <v>1765</v>
      </c>
      <c r="G264" s="19" t="s">
        <v>1766</v>
      </c>
      <c r="H264" s="19" t="s">
        <v>1767</v>
      </c>
      <c r="I264" s="9" t="s">
        <v>1596</v>
      </c>
      <c r="J264" s="9" t="s">
        <v>1597</v>
      </c>
      <c r="K264" s="9">
        <v>40.6288339</v>
      </c>
      <c r="L264" s="9">
        <v>14.4875825</v>
      </c>
      <c r="M264" s="29" t="str">
        <f t="shared" si="11"/>
        <v>https://www.google.com/maps/search/La%20Sponda%20%28Le%20Sirenuse%29%2C%20Positano%2C%20Italy</v>
      </c>
      <c r="N264" s="24" t="s">
        <v>1768</v>
      </c>
      <c r="O264" s="19" t="s">
        <v>61</v>
      </c>
      <c r="P264" s="25" t="str">
        <f t="shared" si="1"/>
        <v>Positano</v>
      </c>
      <c r="Q264" s="25" t="str">
        <f t="shared" si="2"/>
        <v>Hotel Savoia, Positano, Italy</v>
      </c>
      <c r="R264" s="25" t="str">
        <f>VLOOKUP(A264,'Travel Times'!$A$1:$E$1000,4,0)</f>
        <v>3 mins</v>
      </c>
      <c r="S264" s="25" t="str">
        <f>VLOOKUP(A264,'Travel Times'!$A$1:$E$1000,5,0)</f>
        <v>1 min</v>
      </c>
    </row>
    <row r="265">
      <c r="A265" s="19" t="s">
        <v>1769</v>
      </c>
      <c r="B265" s="19" t="s">
        <v>61</v>
      </c>
      <c r="C265" s="19" t="s">
        <v>1762</v>
      </c>
      <c r="D265" s="9" t="s">
        <v>1763</v>
      </c>
      <c r="E265" s="19" t="s">
        <v>1770</v>
      </c>
      <c r="F265" s="19" t="s">
        <v>1771</v>
      </c>
      <c r="G265" s="19" t="s">
        <v>1766</v>
      </c>
      <c r="H265" s="19" t="s">
        <v>1772</v>
      </c>
      <c r="I265" s="9" t="s">
        <v>1773</v>
      </c>
      <c r="J265" s="9" t="s">
        <v>1774</v>
      </c>
      <c r="K265" s="9">
        <v>40.629573</v>
      </c>
      <c r="L265" s="9">
        <v>14.4822525</v>
      </c>
      <c r="M265" s="29" t="str">
        <f t="shared" si="11"/>
        <v>https://www.google.com/maps/search/La%20Serra%20%28Hotel%20Le%20Agavi%29%2C%20Positano%2C%20Italy</v>
      </c>
      <c r="N265" s="24" t="s">
        <v>1768</v>
      </c>
      <c r="O265" s="19" t="s">
        <v>61</v>
      </c>
      <c r="P265" s="25" t="str">
        <f t="shared" si="1"/>
        <v>Positano</v>
      </c>
      <c r="Q265" s="25" t="str">
        <f t="shared" si="2"/>
        <v>Hotel Savoia, Positano, Italy</v>
      </c>
      <c r="R265" s="25" t="str">
        <f>VLOOKUP(A265,'Travel Times'!$A$1:$E$1000,4,0)</f>
        <v>29 mins</v>
      </c>
      <c r="S265" s="25" t="str">
        <f>VLOOKUP(A265,'Travel Times'!$A$1:$E$1000,5,0)</f>
        <v>44 mins</v>
      </c>
    </row>
    <row r="266">
      <c r="A266" s="19" t="s">
        <v>1775</v>
      </c>
      <c r="B266" s="19" t="s">
        <v>61</v>
      </c>
      <c r="C266" s="19" t="s">
        <v>1762</v>
      </c>
      <c r="D266" s="19" t="s">
        <v>291</v>
      </c>
      <c r="E266" s="19" t="s">
        <v>1776</v>
      </c>
      <c r="F266" s="19" t="s">
        <v>1777</v>
      </c>
      <c r="G266" s="19" t="s">
        <v>1778</v>
      </c>
      <c r="H266" s="19" t="s">
        <v>1779</v>
      </c>
      <c r="I266" s="9" t="s">
        <v>1773</v>
      </c>
      <c r="J266" s="9" t="s">
        <v>1774</v>
      </c>
      <c r="K266" s="9">
        <v>40.629573</v>
      </c>
      <c r="L266" s="9">
        <v>14.4822525</v>
      </c>
      <c r="M266" s="29" t="str">
        <f t="shared" si="11"/>
        <v>https://www.google.com/maps/search/Remmese%2C%20Positano%2C%20Italy</v>
      </c>
      <c r="N266" s="24" t="s">
        <v>1768</v>
      </c>
      <c r="O266" s="19" t="s">
        <v>61</v>
      </c>
      <c r="P266" s="25" t="str">
        <f t="shared" si="1"/>
        <v>Positano</v>
      </c>
      <c r="Q266" s="25" t="str">
        <f t="shared" si="2"/>
        <v>Hotel Savoia, Positano, Italy</v>
      </c>
      <c r="R266" s="25" t="str">
        <f>VLOOKUP(A266,'Travel Times'!$A$1:$E$1000,4,0)</f>
        <v>29 mins</v>
      </c>
      <c r="S266" s="25" t="str">
        <f>VLOOKUP(A266,'Travel Times'!$A$1:$E$1000,5,0)</f>
        <v>44 mins</v>
      </c>
    </row>
    <row r="267">
      <c r="A267" s="19" t="s">
        <v>1780</v>
      </c>
      <c r="B267" s="19" t="s">
        <v>61</v>
      </c>
      <c r="C267" s="19" t="s">
        <v>1762</v>
      </c>
      <c r="D267" s="19" t="s">
        <v>409</v>
      </c>
      <c r="E267" s="19" t="s">
        <v>1781</v>
      </c>
      <c r="F267" s="19" t="s">
        <v>1782</v>
      </c>
      <c r="G267" s="19" t="s">
        <v>1783</v>
      </c>
      <c r="H267" s="19" t="s">
        <v>1784</v>
      </c>
      <c r="I267" s="9" t="s">
        <v>1785</v>
      </c>
      <c r="J267" s="9" t="s">
        <v>1786</v>
      </c>
      <c r="K267" s="9">
        <v>40.6285642</v>
      </c>
      <c r="L267" s="9">
        <v>14.4809475</v>
      </c>
      <c r="M267" s="29" t="str">
        <f t="shared" si="11"/>
        <v>https://www.google.com/maps/search/Saraceno%20d%E2%80%99Oro%2C%20Positano%2C%20Italy</v>
      </c>
      <c r="N267" s="24" t="s">
        <v>1768</v>
      </c>
      <c r="O267" s="19" t="s">
        <v>61</v>
      </c>
      <c r="P267" s="25" t="str">
        <f t="shared" si="1"/>
        <v>Positano</v>
      </c>
      <c r="Q267" s="25" t="str">
        <f t="shared" si="2"/>
        <v>Hotel Savoia, Positano, Italy</v>
      </c>
      <c r="R267" s="25" t="str">
        <f>VLOOKUP(A267,'Travel Times'!$A$1:$E$1000,4,0)</f>
        <v>16 mins</v>
      </c>
      <c r="S267" s="25" t="str">
        <f>VLOOKUP(A267,'Travel Times'!$A$1:$E$1000,5,0)</f>
        <v>13 mins</v>
      </c>
    </row>
    <row r="268">
      <c r="A268" s="19" t="s">
        <v>1619</v>
      </c>
      <c r="B268" s="19" t="s">
        <v>61</v>
      </c>
      <c r="C268" s="19" t="s">
        <v>1762</v>
      </c>
      <c r="D268" s="19" t="s">
        <v>291</v>
      </c>
      <c r="E268" s="19" t="s">
        <v>1787</v>
      </c>
      <c r="F268" s="19" t="s">
        <v>1788</v>
      </c>
      <c r="G268" s="19" t="s">
        <v>1789</v>
      </c>
      <c r="H268" s="19" t="s">
        <v>1790</v>
      </c>
      <c r="I268" s="9" t="s">
        <v>1623</v>
      </c>
      <c r="J268" s="9" t="s">
        <v>1624</v>
      </c>
      <c r="K268" s="9">
        <v>40.6283389</v>
      </c>
      <c r="L268" s="9">
        <v>14.4889435</v>
      </c>
      <c r="M268" s="29" t="str">
        <f t="shared" si="11"/>
        <v>https://www.google.com/maps/search/Ristorante%20Bruno%2C%20Positano%2C%20Italy</v>
      </c>
      <c r="N268" s="24" t="s">
        <v>1768</v>
      </c>
      <c r="O268" s="19" t="s">
        <v>61</v>
      </c>
      <c r="P268" s="25" t="str">
        <f t="shared" si="1"/>
        <v>Positano</v>
      </c>
      <c r="Q268" s="25" t="str">
        <f t="shared" si="2"/>
        <v>Hotel Savoia, Positano, Italy</v>
      </c>
      <c r="R268" s="25" t="str">
        <f>VLOOKUP(A268,'Travel Times'!$A$1:$E$1000,4,0)</f>
        <v>5 mins</v>
      </c>
      <c r="S268" s="25" t="str">
        <f>VLOOKUP(A268,'Travel Times'!$A$1:$E$1000,5,0)</f>
        <v>1 min</v>
      </c>
    </row>
    <row r="269">
      <c r="A269" s="19" t="s">
        <v>1791</v>
      </c>
      <c r="B269" s="19" t="s">
        <v>61</v>
      </c>
      <c r="C269" s="19" t="s">
        <v>1762</v>
      </c>
      <c r="D269" s="19" t="s">
        <v>291</v>
      </c>
      <c r="E269" s="19" t="s">
        <v>1792</v>
      </c>
      <c r="F269" s="19" t="s">
        <v>1793</v>
      </c>
      <c r="G269" s="19" t="s">
        <v>1794</v>
      </c>
      <c r="H269" s="19" t="s">
        <v>1795</v>
      </c>
      <c r="I269" s="9" t="s">
        <v>1796</v>
      </c>
      <c r="J269" s="9" t="s">
        <v>1797</v>
      </c>
      <c r="K269" s="9">
        <v>40.6277454</v>
      </c>
      <c r="L269" s="9">
        <v>14.4850447</v>
      </c>
      <c r="M269" s="29" t="str">
        <f t="shared" si="11"/>
        <v>https://www.google.com/maps/search/Da%20Vincenzo%2C%20Positano%2C%20Italy</v>
      </c>
      <c r="N269" s="24" t="s">
        <v>1768</v>
      </c>
      <c r="O269" s="19" t="s">
        <v>61</v>
      </c>
      <c r="P269" s="25" t="str">
        <f t="shared" si="1"/>
        <v>Positano</v>
      </c>
      <c r="Q269" s="25" t="str">
        <f t="shared" si="2"/>
        <v>Hotel Savoia, Positano, Italy</v>
      </c>
      <c r="R269" s="25" t="str">
        <f>VLOOKUP(A269,'Travel Times'!$A$1:$E$1000,4,0)</f>
        <v>10 mins</v>
      </c>
      <c r="S269" s="25" t="str">
        <f>VLOOKUP(A269,'Travel Times'!$A$1:$E$1000,5,0)</f>
        <v>14 mins</v>
      </c>
      <c r="T269" s="9" t="s">
        <v>1798</v>
      </c>
    </row>
    <row r="270">
      <c r="A270" s="19" t="s">
        <v>1799</v>
      </c>
      <c r="B270" s="19" t="s">
        <v>61</v>
      </c>
      <c r="C270" s="19" t="s">
        <v>1762</v>
      </c>
      <c r="D270" s="19" t="s">
        <v>291</v>
      </c>
      <c r="E270" s="19" t="s">
        <v>1800</v>
      </c>
      <c r="F270" s="19" t="s">
        <v>1801</v>
      </c>
      <c r="G270" s="19" t="s">
        <v>1802</v>
      </c>
      <c r="H270" s="19" t="s">
        <v>1803</v>
      </c>
      <c r="I270" s="9" t="s">
        <v>1804</v>
      </c>
      <c r="J270" s="9" t="s">
        <v>1774</v>
      </c>
      <c r="K270" s="9">
        <v>40.629573</v>
      </c>
      <c r="L270" s="9">
        <v>14.4822525</v>
      </c>
      <c r="M270" s="29" t="str">
        <f t="shared" si="11"/>
        <v>https://www.google.com/maps/search/Adamo%20%26%20Eva%2C%20Positano%2C%20Italy</v>
      </c>
      <c r="N270" s="24" t="s">
        <v>1768</v>
      </c>
      <c r="O270" s="19" t="s">
        <v>61</v>
      </c>
      <c r="P270" s="25" t="str">
        <f t="shared" si="1"/>
        <v>Positano</v>
      </c>
      <c r="Q270" s="25" t="str">
        <f t="shared" si="2"/>
        <v>Hotel Savoia, Positano, Italy</v>
      </c>
      <c r="R270" s="25" t="str">
        <f>VLOOKUP(A270,'Travel Times'!$A$1:$E$1000,4,0)</f>
        <v>8 mins</v>
      </c>
      <c r="S270" s="9" t="s">
        <v>182</v>
      </c>
      <c r="T270" s="9" t="s">
        <v>1805</v>
      </c>
    </row>
    <row r="271">
      <c r="A271" s="19" t="s">
        <v>1652</v>
      </c>
      <c r="B271" s="19" t="s">
        <v>61</v>
      </c>
      <c r="C271" s="19" t="s">
        <v>1762</v>
      </c>
      <c r="D271" s="19" t="s">
        <v>291</v>
      </c>
      <c r="E271" s="19" t="s">
        <v>1806</v>
      </c>
      <c r="F271" s="19" t="s">
        <v>1807</v>
      </c>
      <c r="G271" s="19" t="s">
        <v>1808</v>
      </c>
      <c r="H271" s="19" t="s">
        <v>1809</v>
      </c>
      <c r="I271" s="9" t="s">
        <v>1655</v>
      </c>
      <c r="J271" s="9" t="s">
        <v>1656</v>
      </c>
      <c r="K271" s="9">
        <v>40.6280498</v>
      </c>
      <c r="L271" s="9">
        <v>14.4869969</v>
      </c>
      <c r="M271" s="29" t="str">
        <f t="shared" si="11"/>
        <v>https://www.google.com/maps/search/Chez%20Black%2C%20Positano%2C%20Italy</v>
      </c>
      <c r="N271" s="24" t="s">
        <v>1768</v>
      </c>
      <c r="O271" s="19" t="s">
        <v>61</v>
      </c>
      <c r="P271" s="25" t="str">
        <f t="shared" si="1"/>
        <v>Positano</v>
      </c>
      <c r="Q271" s="25" t="str">
        <f t="shared" si="2"/>
        <v>Hotel Savoia, Positano, Italy</v>
      </c>
      <c r="R271" s="25" t="str">
        <f>VLOOKUP(A271,'Travel Times'!$A$1:$E$1000,4,0)</f>
        <v>6 mins</v>
      </c>
      <c r="S271" s="25" t="str">
        <f>VLOOKUP(A271,'Travel Times'!$A$1:$E$1000,5,0)</f>
        <v>1 min</v>
      </c>
    </row>
    <row r="272">
      <c r="A272" s="19" t="s">
        <v>1810</v>
      </c>
      <c r="B272" s="19" t="s">
        <v>61</v>
      </c>
      <c r="C272" s="19" t="s">
        <v>1762</v>
      </c>
      <c r="D272" s="9" t="s">
        <v>521</v>
      </c>
      <c r="E272" s="19" t="s">
        <v>1811</v>
      </c>
      <c r="F272" s="19" t="s">
        <v>1812</v>
      </c>
      <c r="G272" s="19" t="s">
        <v>1813</v>
      </c>
      <c r="H272" s="19" t="s">
        <v>1814</v>
      </c>
      <c r="I272" s="9" t="s">
        <v>1815</v>
      </c>
      <c r="J272" s="9" t="s">
        <v>1816</v>
      </c>
      <c r="K272" s="9">
        <v>40.6282707</v>
      </c>
      <c r="L272" s="9">
        <v>14.4821287</v>
      </c>
      <c r="M272" s="29" t="str">
        <f t="shared" si="11"/>
        <v>https://www.google.com/maps/search/Mediterraneo%2C%20Positano%2C%20Italy</v>
      </c>
      <c r="N272" s="24" t="s">
        <v>1768</v>
      </c>
      <c r="O272" s="19" t="s">
        <v>61</v>
      </c>
      <c r="P272" s="25" t="str">
        <f t="shared" si="1"/>
        <v>Positano</v>
      </c>
      <c r="Q272" s="25" t="str">
        <f t="shared" si="2"/>
        <v>Hotel Savoia, Positano, Italy</v>
      </c>
      <c r="R272" s="25" t="str">
        <f>VLOOKUP(A272,'Travel Times'!$A$1:$E$1000,4,0)</f>
        <v>14 mins</v>
      </c>
      <c r="S272" s="25" t="str">
        <f>VLOOKUP(A272,'Travel Times'!$A$1:$E$1000,5,0)</f>
        <v>13 mins</v>
      </c>
    </row>
    <row r="273">
      <c r="A273" s="19" t="s">
        <v>820</v>
      </c>
      <c r="B273" s="19" t="s">
        <v>406</v>
      </c>
      <c r="C273" s="19" t="s">
        <v>1762</v>
      </c>
      <c r="D273" s="9" t="s">
        <v>521</v>
      </c>
      <c r="E273" s="19" t="s">
        <v>1817</v>
      </c>
      <c r="F273" s="19" t="s">
        <v>1818</v>
      </c>
      <c r="G273" s="19" t="s">
        <v>1819</v>
      </c>
      <c r="H273" s="19" t="s">
        <v>1820</v>
      </c>
      <c r="I273" s="9" t="s">
        <v>826</v>
      </c>
      <c r="J273" s="9" t="s">
        <v>827</v>
      </c>
      <c r="K273" s="9">
        <v>40.6311822</v>
      </c>
      <c r="L273" s="9">
        <v>14.4971535</v>
      </c>
      <c r="M273" s="29" t="str">
        <f t="shared" si="11"/>
        <v>https://www.google.com/maps/search/La%20Tagliata%2C%20Montepertuso%20%28above%20Positano%29%2C%20Italy</v>
      </c>
      <c r="N273" s="24" t="s">
        <v>1768</v>
      </c>
      <c r="O273" s="19" t="s">
        <v>61</v>
      </c>
      <c r="P273" s="25" t="str">
        <f t="shared" si="1"/>
        <v>Positano</v>
      </c>
      <c r="Q273" s="25" t="str">
        <f t="shared" si="2"/>
        <v>Hotel Savoia, Positano, Italy</v>
      </c>
      <c r="R273" s="25" t="str">
        <f>VLOOKUP(A273,'Travel Times'!$A$1:$E$1000,4,0)</f>
        <v>47 mins</v>
      </c>
      <c r="S273" s="25" t="str">
        <f>VLOOKUP(A273,'Travel Times'!$A$1:$E$1000,5,0)</f>
        <v>17 mins</v>
      </c>
    </row>
    <row r="274">
      <c r="A274" s="3" t="s">
        <v>1821</v>
      </c>
      <c r="B274" s="9" t="s">
        <v>243</v>
      </c>
      <c r="C274" s="9" t="s">
        <v>1762</v>
      </c>
      <c r="D274" s="19" t="s">
        <v>291</v>
      </c>
      <c r="E274" s="9" t="s">
        <v>1822</v>
      </c>
      <c r="G274" s="9" t="s">
        <v>1823</v>
      </c>
      <c r="M274" s="29" t="str">
        <f t="shared" si="11"/>
        <v>https://www.google.com/maps/search/Villa%20Margherita%2C%20Capri%2C%20Italy</v>
      </c>
      <c r="N274" s="6" t="s">
        <v>230</v>
      </c>
      <c r="O274" s="9" t="s">
        <v>243</v>
      </c>
      <c r="P274" s="25" t="str">
        <f t="shared" si="1"/>
        <v>Capri</v>
      </c>
      <c r="Q274" s="25" t="str">
        <f t="shared" si="2"/>
        <v>La Residenza, Capri, Italy</v>
      </c>
      <c r="T274" s="9" t="s">
        <v>1824</v>
      </c>
    </row>
    <row r="275">
      <c r="A275" s="9" t="s">
        <v>1825</v>
      </c>
      <c r="B275" s="9" t="s">
        <v>243</v>
      </c>
      <c r="C275" s="9" t="s">
        <v>1826</v>
      </c>
      <c r="D275" s="19" t="s">
        <v>409</v>
      </c>
      <c r="E275" s="9" t="s">
        <v>1827</v>
      </c>
      <c r="M275" s="29" t="str">
        <f t="shared" si="11"/>
        <v>https://www.google.com/maps/search/Ristorante%20Pizzeria%20Verginiello%2C%20Capri%2C%20Italy</v>
      </c>
      <c r="N275" s="6" t="s">
        <v>230</v>
      </c>
      <c r="O275" s="9" t="s">
        <v>243</v>
      </c>
      <c r="P275" s="25" t="str">
        <f t="shared" si="1"/>
        <v>Capri</v>
      </c>
      <c r="Q275" s="25" t="str">
        <f t="shared" si="2"/>
        <v>La Residenza, Capri, Italy</v>
      </c>
    </row>
    <row r="276">
      <c r="A276" s="9" t="s">
        <v>1828</v>
      </c>
      <c r="B276" s="9" t="s">
        <v>243</v>
      </c>
      <c r="C276" s="9" t="s">
        <v>1829</v>
      </c>
      <c r="D276" s="9" t="s">
        <v>625</v>
      </c>
      <c r="E276" s="9" t="s">
        <v>1830</v>
      </c>
      <c r="M276" s="29" t="str">
        <f t="shared" si="11"/>
        <v>https://www.google.com/maps/search/Il%20Piccolo%20Bar%2C%20Capri%2C%20Italy</v>
      </c>
      <c r="N276" s="6" t="s">
        <v>230</v>
      </c>
      <c r="O276" s="9" t="s">
        <v>243</v>
      </c>
      <c r="P276" s="25" t="str">
        <f t="shared" si="1"/>
        <v>Capri</v>
      </c>
      <c r="Q276" s="25" t="str">
        <f t="shared" si="2"/>
        <v>La Residenza, Capri, Italy</v>
      </c>
    </row>
    <row r="277">
      <c r="A277" s="9" t="s">
        <v>1831</v>
      </c>
      <c r="B277" s="9" t="s">
        <v>243</v>
      </c>
      <c r="C277" s="9" t="s">
        <v>1309</v>
      </c>
      <c r="D277" s="19" t="s">
        <v>543</v>
      </c>
      <c r="E277" s="9" t="s">
        <v>1832</v>
      </c>
      <c r="M277" s="29" t="str">
        <f t="shared" si="11"/>
        <v>https://www.google.com/maps/search/Capri%20Rooftop%2C%20Capri%2C%20Italy</v>
      </c>
      <c r="N277" s="6" t="s">
        <v>230</v>
      </c>
      <c r="O277" s="9" t="s">
        <v>243</v>
      </c>
      <c r="P277" s="25" t="str">
        <f t="shared" si="1"/>
        <v>Capri</v>
      </c>
      <c r="Q277" s="25" t="str">
        <f t="shared" si="2"/>
        <v>La Residenza, Capri, Italy</v>
      </c>
      <c r="T277" s="9" t="s">
        <v>1833</v>
      </c>
    </row>
    <row r="278">
      <c r="A278" s="9" t="s">
        <v>1834</v>
      </c>
      <c r="B278" s="9" t="s">
        <v>61</v>
      </c>
      <c r="C278" s="9" t="s">
        <v>1835</v>
      </c>
      <c r="D278" s="19" t="s">
        <v>291</v>
      </c>
      <c r="E278" s="9" t="s">
        <v>1836</v>
      </c>
      <c r="M278" s="29" t="str">
        <f t="shared" si="11"/>
        <v>https://www.google.com/maps/search/Buca%20di%20Bacco%2C%20Positano%2C%20Italy</v>
      </c>
      <c r="N278" s="9" t="s">
        <v>1837</v>
      </c>
      <c r="O278" s="9" t="s">
        <v>61</v>
      </c>
      <c r="P278" s="25" t="str">
        <f t="shared" si="1"/>
        <v>Positano</v>
      </c>
      <c r="Q278" s="25" t="str">
        <f t="shared" si="2"/>
        <v>Hotel Savoia, Positano, Italy</v>
      </c>
      <c r="T278" s="9" t="s">
        <v>1838</v>
      </c>
    </row>
    <row r="279">
      <c r="A279" s="31" t="s">
        <v>1839</v>
      </c>
      <c r="B279" s="27" t="s">
        <v>255</v>
      </c>
      <c r="C279" s="27" t="s">
        <v>1210</v>
      </c>
      <c r="D279" s="32" t="s">
        <v>409</v>
      </c>
      <c r="E279" s="27" t="s">
        <v>1840</v>
      </c>
      <c r="F279" s="27" t="s">
        <v>1841</v>
      </c>
      <c r="G279" s="27" t="s">
        <v>1842</v>
      </c>
      <c r="H279" s="27" t="s">
        <v>1843</v>
      </c>
      <c r="I279" s="21" t="s">
        <v>1214</v>
      </c>
      <c r="J279" s="21" t="s">
        <v>1215</v>
      </c>
      <c r="K279" s="33">
        <v>40.8283749</v>
      </c>
      <c r="L279" s="33">
        <v>14.2202568</v>
      </c>
      <c r="M279" s="29" t="str">
        <f t="shared" ref="M279:M284" si="12">HYPERLINK("https://www.google.com/maps/search/"&amp;ENCODEURL(A279&amp;", Naples, Italy"))</f>
        <v>https://www.google.com/maps/search/50%20Kal%C3%B2%2C%20Naples%2C%20Italy</v>
      </c>
      <c r="N279" s="34" t="s">
        <v>1844</v>
      </c>
      <c r="O279" s="9" t="s">
        <v>255</v>
      </c>
      <c r="P279" s="25" t="str">
        <f t="shared" si="1"/>
        <v>Naples</v>
      </c>
      <c r="Q279" s="25" t="str">
        <f t="shared" si="2"/>
        <v>Relais sul Mare Boutique Hotel, Naples, Italy</v>
      </c>
    </row>
    <row r="280">
      <c r="A280" s="31" t="s">
        <v>1845</v>
      </c>
      <c r="B280" s="27" t="s">
        <v>255</v>
      </c>
      <c r="C280" s="27" t="s">
        <v>302</v>
      </c>
      <c r="D280" s="32" t="s">
        <v>521</v>
      </c>
      <c r="E280" s="27" t="s">
        <v>1846</v>
      </c>
      <c r="F280" s="27" t="s">
        <v>1847</v>
      </c>
      <c r="G280" s="27" t="s">
        <v>1848</v>
      </c>
      <c r="H280" s="27" t="s">
        <v>1849</v>
      </c>
      <c r="I280" s="21" t="s">
        <v>1850</v>
      </c>
      <c r="J280" s="21" t="s">
        <v>1851</v>
      </c>
      <c r="K280" s="33">
        <v>40.8315305</v>
      </c>
      <c r="L280" s="33">
        <v>14.2432932</v>
      </c>
      <c r="M280" s="29" t="str">
        <f t="shared" si="12"/>
        <v>https://www.google.com/maps/search/Fresco%20Trattoria%20Pizzeria%2C%20Naples%2C%20Italy</v>
      </c>
      <c r="N280" s="34" t="s">
        <v>1844</v>
      </c>
      <c r="O280" s="9" t="s">
        <v>255</v>
      </c>
      <c r="P280" s="25" t="str">
        <f t="shared" si="1"/>
        <v>Naples</v>
      </c>
      <c r="Q280" s="25" t="str">
        <f t="shared" si="2"/>
        <v>Relais sul Mare Boutique Hotel, Naples, Italy</v>
      </c>
    </row>
    <row r="281">
      <c r="A281" s="31" t="s">
        <v>1852</v>
      </c>
      <c r="B281" s="27" t="s">
        <v>255</v>
      </c>
      <c r="C281" s="27" t="s">
        <v>1210</v>
      </c>
      <c r="D281" s="32" t="s">
        <v>409</v>
      </c>
      <c r="E281" s="27" t="s">
        <v>1853</v>
      </c>
      <c r="F281" s="27" t="s">
        <v>1854</v>
      </c>
      <c r="G281" s="27" t="s">
        <v>1855</v>
      </c>
      <c r="H281" s="27" t="s">
        <v>1856</v>
      </c>
      <c r="I281" s="21" t="s">
        <v>1857</v>
      </c>
      <c r="J281" s="21" t="s">
        <v>1858</v>
      </c>
      <c r="K281" s="33">
        <v>40.8320869</v>
      </c>
      <c r="L281" s="33">
        <v>14.2418338</v>
      </c>
      <c r="M281" s="29" t="str">
        <f t="shared" si="12"/>
        <v>https://www.google.com/maps/search/Vincenzo%20Capuano%20Lungomare%2C%20Naples%2C%20Italy</v>
      </c>
      <c r="N281" s="34" t="s">
        <v>1844</v>
      </c>
      <c r="O281" s="9" t="s">
        <v>255</v>
      </c>
      <c r="P281" s="25" t="str">
        <f t="shared" si="1"/>
        <v>Naples</v>
      </c>
      <c r="Q281" s="25" t="str">
        <f t="shared" si="2"/>
        <v>Relais sul Mare Boutique Hotel, Naples, Italy</v>
      </c>
    </row>
    <row r="282">
      <c r="A282" s="31" t="s">
        <v>1859</v>
      </c>
      <c r="B282" s="27" t="s">
        <v>255</v>
      </c>
      <c r="C282" s="27" t="s">
        <v>1210</v>
      </c>
      <c r="D282" s="32" t="s">
        <v>409</v>
      </c>
      <c r="E282" s="27" t="s">
        <v>1860</v>
      </c>
      <c r="F282" s="27" t="s">
        <v>1861</v>
      </c>
      <c r="G282" s="27" t="s">
        <v>1855</v>
      </c>
      <c r="H282" s="27" t="s">
        <v>1862</v>
      </c>
      <c r="I282" s="21" t="s">
        <v>1863</v>
      </c>
      <c r="J282" s="21" t="s">
        <v>1864</v>
      </c>
      <c r="K282" s="33">
        <v>40.8317152</v>
      </c>
      <c r="L282" s="33">
        <v>14.2417292</v>
      </c>
      <c r="M282" s="29" t="str">
        <f t="shared" si="12"/>
        <v>https://www.google.com/maps/search/Gino%20Sorbillo%20Lievito%20Madre%20al%20Mare%2C%20Naples%2C%20Italy</v>
      </c>
      <c r="N282" s="34" t="s">
        <v>1844</v>
      </c>
      <c r="O282" s="9" t="s">
        <v>255</v>
      </c>
      <c r="P282" s="25" t="str">
        <f t="shared" si="1"/>
        <v>Naples</v>
      </c>
      <c r="Q282" s="25" t="str">
        <f t="shared" si="2"/>
        <v>Relais sul Mare Boutique Hotel, Naples, Italy</v>
      </c>
    </row>
    <row r="283">
      <c r="A283" s="31" t="s">
        <v>1865</v>
      </c>
      <c r="B283" s="27" t="s">
        <v>255</v>
      </c>
      <c r="C283" s="27" t="s">
        <v>1104</v>
      </c>
      <c r="D283" s="32" t="s">
        <v>270</v>
      </c>
      <c r="E283" s="27" t="s">
        <v>1866</v>
      </c>
      <c r="F283" s="27" t="s">
        <v>1867</v>
      </c>
      <c r="G283" s="27" t="s">
        <v>1868</v>
      </c>
      <c r="H283" s="27" t="s">
        <v>1869</v>
      </c>
      <c r="I283" s="21" t="s">
        <v>1870</v>
      </c>
      <c r="J283" s="21" t="s">
        <v>1871</v>
      </c>
      <c r="K283" s="33">
        <v>40.844468</v>
      </c>
      <c r="L283" s="33">
        <v>14.232614</v>
      </c>
      <c r="M283" s="29" t="str">
        <f t="shared" si="12"/>
        <v>https://www.google.com/maps/search/Vineria%20Bandita%2C%20Naples%2C%20Italy</v>
      </c>
      <c r="N283" s="34" t="s">
        <v>1844</v>
      </c>
      <c r="O283" s="9" t="s">
        <v>255</v>
      </c>
      <c r="P283" s="25" t="str">
        <f t="shared" si="1"/>
        <v>Naples</v>
      </c>
      <c r="Q283" s="25" t="str">
        <f t="shared" si="2"/>
        <v>Relais sul Mare Boutique Hotel, Naples, Italy</v>
      </c>
    </row>
    <row r="284">
      <c r="A284" s="31" t="s">
        <v>1872</v>
      </c>
      <c r="B284" s="27" t="s">
        <v>255</v>
      </c>
      <c r="C284" s="27" t="s">
        <v>246</v>
      </c>
      <c r="D284" s="32" t="s">
        <v>247</v>
      </c>
      <c r="E284" s="27" t="s">
        <v>1873</v>
      </c>
      <c r="F284" s="27" t="s">
        <v>1874</v>
      </c>
      <c r="G284" s="27" t="s">
        <v>1875</v>
      </c>
      <c r="H284" s="27" t="s">
        <v>1876</v>
      </c>
      <c r="I284" s="21" t="s">
        <v>621</v>
      </c>
      <c r="J284" s="21" t="s">
        <v>622</v>
      </c>
      <c r="K284" s="33">
        <v>40.8367945</v>
      </c>
      <c r="L284" s="33">
        <v>14.248479</v>
      </c>
      <c r="M284" s="29" t="str">
        <f t="shared" si="12"/>
        <v>https://www.google.com/maps/search/Gran%20Caff%C3%A8%20Gambrinus%2C%20Naples%2C%20Italy</v>
      </c>
      <c r="N284" s="34" t="s">
        <v>1844</v>
      </c>
      <c r="O284" s="9" t="s">
        <v>255</v>
      </c>
      <c r="P284" s="25" t="str">
        <f t="shared" si="1"/>
        <v>Naples</v>
      </c>
      <c r="Q284" s="25" t="str">
        <f t="shared" si="2"/>
        <v>Relais sul Mare Boutique Hotel, Naples, Italy</v>
      </c>
    </row>
  </sheetData>
  <autoFilter ref="$A$1:$T$284"/>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N20"/>
    <hyperlink r:id="rId20" ref="N21"/>
    <hyperlink r:id="rId21" ref="G22"/>
    <hyperlink r:id="rId22" ref="N22"/>
    <hyperlink r:id="rId23" ref="N23"/>
    <hyperlink r:id="rId24" ref="N24"/>
    <hyperlink r:id="rId25" ref="N25"/>
    <hyperlink r:id="rId26" ref="N26"/>
    <hyperlink r:id="rId27" ref="N27"/>
    <hyperlink r:id="rId28" ref="N28"/>
    <hyperlink r:id="rId29" ref="N29"/>
    <hyperlink r:id="rId30" ref="N30"/>
    <hyperlink r:id="rId31" ref="N31"/>
    <hyperlink r:id="rId32" ref="N32"/>
    <hyperlink r:id="rId33" ref="N33"/>
    <hyperlink r:id="rId34" ref="N34"/>
    <hyperlink r:id="rId35" ref="N35"/>
    <hyperlink r:id="rId36" ref="N36"/>
    <hyperlink r:id="rId37" ref="N37"/>
    <hyperlink r:id="rId38" ref="N38"/>
    <hyperlink r:id="rId39" ref="N39"/>
    <hyperlink r:id="rId40" ref="N40"/>
    <hyperlink r:id="rId41" ref="N41"/>
    <hyperlink r:id="rId42" ref="N42"/>
    <hyperlink r:id="rId43" ref="N43"/>
    <hyperlink r:id="rId44" ref="N44"/>
    <hyperlink r:id="rId45" ref="N45"/>
    <hyperlink r:id="rId46" ref="N46"/>
    <hyperlink r:id="rId47" ref="N47"/>
    <hyperlink r:id="rId48" ref="N48"/>
    <hyperlink r:id="rId49" ref="N49"/>
    <hyperlink r:id="rId50" ref="N50"/>
    <hyperlink r:id="rId51" ref="N51"/>
    <hyperlink r:id="rId52" ref="N52"/>
    <hyperlink r:id="rId53" ref="N53"/>
    <hyperlink r:id="rId54" ref="N54"/>
    <hyperlink r:id="rId55" ref="N55"/>
    <hyperlink r:id="rId56" ref="N56"/>
    <hyperlink r:id="rId57" ref="N57"/>
    <hyperlink r:id="rId58" ref="N58"/>
    <hyperlink r:id="rId59" ref="N59"/>
    <hyperlink r:id="rId60" ref="N60"/>
    <hyperlink r:id="rId61" ref="N61"/>
    <hyperlink r:id="rId62" ref="N62"/>
    <hyperlink r:id="rId63" ref="N63"/>
    <hyperlink r:id="rId64" ref="N64"/>
    <hyperlink r:id="rId65" ref="N65"/>
    <hyperlink r:id="rId66" ref="N66"/>
    <hyperlink r:id="rId67" ref="N67"/>
    <hyperlink r:id="rId68" ref="N68"/>
    <hyperlink r:id="rId69" ref="N69"/>
    <hyperlink r:id="rId70" ref="N70"/>
    <hyperlink r:id="rId71" ref="N71"/>
    <hyperlink r:id="rId72" ref="N72"/>
    <hyperlink r:id="rId73" ref="N73"/>
    <hyperlink r:id="rId74" ref="N74"/>
    <hyperlink r:id="rId75" ref="N75"/>
    <hyperlink r:id="rId76" ref="N76"/>
    <hyperlink r:id="rId77" ref="N77"/>
    <hyperlink r:id="rId78" ref="N78"/>
    <hyperlink r:id="rId79" ref="N79"/>
    <hyperlink r:id="rId80" ref="N80"/>
    <hyperlink r:id="rId81" ref="N81"/>
    <hyperlink r:id="rId82" ref="N82"/>
    <hyperlink r:id="rId83" ref="N83"/>
    <hyperlink r:id="rId84" ref="N84"/>
    <hyperlink r:id="rId85" ref="N85"/>
    <hyperlink r:id="rId86" ref="N86"/>
    <hyperlink r:id="rId87" ref="N87"/>
    <hyperlink r:id="rId88" ref="N88"/>
    <hyperlink r:id="rId89" ref="N89"/>
    <hyperlink r:id="rId90" ref="N90"/>
    <hyperlink r:id="rId91" ref="N91"/>
    <hyperlink r:id="rId92" ref="N92"/>
    <hyperlink r:id="rId93" ref="N93"/>
    <hyperlink r:id="rId94" ref="N94"/>
    <hyperlink r:id="rId95" ref="N95"/>
    <hyperlink r:id="rId96" ref="N96"/>
    <hyperlink r:id="rId97" ref="N97"/>
    <hyperlink r:id="rId98" ref="N98"/>
    <hyperlink r:id="rId99" ref="N99"/>
    <hyperlink r:id="rId100" ref="N100"/>
    <hyperlink r:id="rId101" ref="N101"/>
    <hyperlink r:id="rId102" ref="N102"/>
    <hyperlink r:id="rId103" ref="N103"/>
    <hyperlink r:id="rId104" ref="N104"/>
    <hyperlink r:id="rId105" ref="N105"/>
    <hyperlink r:id="rId106" ref="N106"/>
    <hyperlink r:id="rId107" ref="N107"/>
    <hyperlink r:id="rId108" ref="N108"/>
    <hyperlink r:id="rId109" ref="N109"/>
    <hyperlink r:id="rId110" ref="N110"/>
    <hyperlink r:id="rId111" ref="N111"/>
    <hyperlink r:id="rId112" ref="N112"/>
    <hyperlink r:id="rId113" ref="N113"/>
    <hyperlink r:id="rId114" ref="N114"/>
    <hyperlink r:id="rId115" ref="N115"/>
    <hyperlink r:id="rId116" ref="N116"/>
    <hyperlink r:id="rId117" ref="N117"/>
    <hyperlink r:id="rId118" ref="N118"/>
    <hyperlink r:id="rId119" ref="N119"/>
    <hyperlink r:id="rId120" ref="N120"/>
    <hyperlink r:id="rId121" ref="N121"/>
    <hyperlink r:id="rId122" ref="N122"/>
    <hyperlink r:id="rId123" ref="N123"/>
    <hyperlink r:id="rId124" ref="N124"/>
    <hyperlink r:id="rId125" ref="N125"/>
    <hyperlink r:id="rId126" ref="N126"/>
    <hyperlink r:id="rId127" ref="N127"/>
    <hyperlink r:id="rId128" ref="N128"/>
    <hyperlink r:id="rId129" ref="N129"/>
    <hyperlink r:id="rId130" ref="N130"/>
    <hyperlink r:id="rId131" ref="N131"/>
    <hyperlink r:id="rId132" ref="N132"/>
    <hyperlink r:id="rId133" ref="N133"/>
    <hyperlink r:id="rId134" ref="N134"/>
    <hyperlink r:id="rId135" ref="N135"/>
    <hyperlink r:id="rId136" ref="N136"/>
    <hyperlink r:id="rId137" ref="N137"/>
    <hyperlink r:id="rId138" ref="N138"/>
    <hyperlink r:id="rId139" ref="N139"/>
    <hyperlink r:id="rId140" ref="N140"/>
    <hyperlink r:id="rId141" ref="N141"/>
    <hyperlink r:id="rId142" ref="N142"/>
    <hyperlink r:id="rId143" ref="N143"/>
    <hyperlink r:id="rId144" ref="N144"/>
    <hyperlink r:id="rId145" ref="N145"/>
    <hyperlink r:id="rId146" ref="N146"/>
    <hyperlink r:id="rId147" ref="N147"/>
    <hyperlink r:id="rId148" ref="N148"/>
    <hyperlink r:id="rId149" ref="N149"/>
    <hyperlink r:id="rId150" ref="N150"/>
    <hyperlink r:id="rId151" ref="N151"/>
    <hyperlink r:id="rId152" ref="N152"/>
    <hyperlink r:id="rId153" ref="N153"/>
    <hyperlink r:id="rId154" ref="N154"/>
    <hyperlink r:id="rId155" ref="N155"/>
    <hyperlink r:id="rId156" ref="N156"/>
    <hyperlink r:id="rId157" ref="N157"/>
    <hyperlink r:id="rId158" ref="N158"/>
    <hyperlink r:id="rId159" ref="N159"/>
    <hyperlink r:id="rId160" ref="N160"/>
    <hyperlink r:id="rId161" ref="N161"/>
    <hyperlink r:id="rId162" ref="N162"/>
    <hyperlink r:id="rId163" ref="N163"/>
    <hyperlink r:id="rId164" ref="N164"/>
    <hyperlink r:id="rId165" ref="N165"/>
    <hyperlink r:id="rId166" ref="N166"/>
    <hyperlink r:id="rId167" ref="N167"/>
    <hyperlink r:id="rId168" ref="N168"/>
    <hyperlink r:id="rId169" ref="N169"/>
    <hyperlink r:id="rId170" ref="N170"/>
    <hyperlink r:id="rId171" ref="N171"/>
    <hyperlink r:id="rId172" ref="N172"/>
    <hyperlink r:id="rId173" ref="N173"/>
    <hyperlink r:id="rId174" ref="N174"/>
    <hyperlink r:id="rId175" ref="N175"/>
    <hyperlink r:id="rId176" ref="N176"/>
    <hyperlink r:id="rId177" ref="N177"/>
    <hyperlink r:id="rId178" ref="N178"/>
    <hyperlink r:id="rId179" ref="N179"/>
    <hyperlink r:id="rId180" ref="N180"/>
    <hyperlink r:id="rId181" ref="N181"/>
    <hyperlink r:id="rId182" ref="N182"/>
    <hyperlink r:id="rId183" ref="N183"/>
    <hyperlink r:id="rId184" ref="N184"/>
    <hyperlink r:id="rId185" ref="N185"/>
    <hyperlink r:id="rId186" ref="N186"/>
    <hyperlink r:id="rId187" ref="N187"/>
    <hyperlink r:id="rId188" ref="N188"/>
    <hyperlink r:id="rId189" ref="N189"/>
    <hyperlink r:id="rId190" ref="N190"/>
    <hyperlink r:id="rId191" ref="N191"/>
    <hyperlink r:id="rId192" ref="N192"/>
    <hyperlink r:id="rId193" ref="N193"/>
    <hyperlink r:id="rId194" ref="N194"/>
    <hyperlink r:id="rId195" ref="N195"/>
    <hyperlink r:id="rId196" ref="N196"/>
    <hyperlink r:id="rId197" ref="N197"/>
    <hyperlink r:id="rId198" ref="N198"/>
    <hyperlink r:id="rId199" ref="N199"/>
    <hyperlink r:id="rId200" ref="N200"/>
    <hyperlink r:id="rId201" ref="N201"/>
    <hyperlink r:id="rId202" ref="N202"/>
    <hyperlink r:id="rId203" ref="N203"/>
    <hyperlink r:id="rId204" ref="N204"/>
    <hyperlink r:id="rId205" ref="N205"/>
    <hyperlink r:id="rId206" ref="N206"/>
    <hyperlink r:id="rId207" ref="N207"/>
    <hyperlink r:id="rId208" ref="N208"/>
    <hyperlink r:id="rId209" ref="N209"/>
    <hyperlink r:id="rId210" ref="N210"/>
    <hyperlink r:id="rId211" ref="N254"/>
    <hyperlink r:id="rId212" ref="N255"/>
    <hyperlink r:id="rId213" ref="N256"/>
    <hyperlink r:id="rId214" ref="N257"/>
    <hyperlink r:id="rId215" ref="N258"/>
    <hyperlink r:id="rId216" ref="N264"/>
    <hyperlink r:id="rId217" ref="N265"/>
    <hyperlink r:id="rId218" ref="N266"/>
    <hyperlink r:id="rId219" ref="N267"/>
    <hyperlink r:id="rId220" ref="N268"/>
    <hyperlink r:id="rId221" ref="N269"/>
    <hyperlink r:id="rId222" ref="N270"/>
    <hyperlink r:id="rId223" ref="N271"/>
    <hyperlink r:id="rId224" ref="N272"/>
    <hyperlink r:id="rId225" ref="N273"/>
    <hyperlink r:id="rId226" ref="N274"/>
    <hyperlink r:id="rId227" ref="N275"/>
    <hyperlink r:id="rId228" ref="N276"/>
    <hyperlink r:id="rId229" ref="N277"/>
    <hyperlink r:id="rId230" ref="N279"/>
    <hyperlink r:id="rId231" ref="N280"/>
    <hyperlink r:id="rId232" ref="N281"/>
    <hyperlink r:id="rId233" ref="N282"/>
    <hyperlink r:id="rId234" ref="N283"/>
    <hyperlink r:id="rId235" ref="N284"/>
  </hyperlinks>
  <printOptions gridLines="1" horizontalCentered="1"/>
  <pageMargins bottom="0.75" footer="0.0" header="0.0" left="0.7" right="0.7" top="0.75"/>
  <pageSetup fitToHeight="0" cellComments="atEnd" orientation="landscape" pageOrder="overThenDown"/>
  <drawing r:id="rId23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s>
  <sheetData>
    <row r="1">
      <c r="A1" s="20" t="s">
        <v>133</v>
      </c>
      <c r="B1" s="20" t="s">
        <v>1877</v>
      </c>
      <c r="C1" s="20" t="s">
        <v>440</v>
      </c>
      <c r="D1" s="20" t="s">
        <v>1878</v>
      </c>
      <c r="E1" s="20" t="s">
        <v>1879</v>
      </c>
      <c r="F1" s="20" t="s">
        <v>1880</v>
      </c>
      <c r="G1" s="20" t="s">
        <v>1881</v>
      </c>
      <c r="H1" s="20" t="s">
        <v>1882</v>
      </c>
      <c r="I1" s="20" t="s">
        <v>1883</v>
      </c>
      <c r="J1" s="20" t="s">
        <v>1884</v>
      </c>
    </row>
    <row r="2">
      <c r="A2" s="35" t="s">
        <v>692</v>
      </c>
      <c r="B2" s="26" t="s">
        <v>1885</v>
      </c>
      <c r="C2" s="26" t="s">
        <v>1886</v>
      </c>
      <c r="D2" s="26">
        <v>8.0</v>
      </c>
      <c r="E2" s="26">
        <v>6.0</v>
      </c>
      <c r="F2" s="26">
        <v>3.0</v>
      </c>
      <c r="G2" s="26">
        <v>9.0</v>
      </c>
      <c r="H2" s="26">
        <v>9.0</v>
      </c>
      <c r="I2" s="26">
        <v>10.0</v>
      </c>
      <c r="J2" s="26">
        <v>3.0</v>
      </c>
      <c r="K2" s="25">
        <f t="shared" ref="K2:K10" si="1">AVERAGE(D2:J2)</f>
        <v>6.857142857</v>
      </c>
    </row>
    <row r="3">
      <c r="A3" s="35" t="s">
        <v>1887</v>
      </c>
      <c r="B3" s="26" t="s">
        <v>1888</v>
      </c>
      <c r="C3" s="26" t="s">
        <v>1889</v>
      </c>
      <c r="D3" s="26">
        <v>10.0</v>
      </c>
      <c r="E3" s="26">
        <v>9.0</v>
      </c>
      <c r="F3" s="26">
        <v>3.0</v>
      </c>
      <c r="G3" s="26">
        <v>7.0</v>
      </c>
      <c r="H3" s="26">
        <v>10.0</v>
      </c>
      <c r="I3" s="26">
        <v>7.0</v>
      </c>
      <c r="J3" s="26">
        <v>3.0</v>
      </c>
      <c r="K3" s="25">
        <f t="shared" si="1"/>
        <v>7</v>
      </c>
    </row>
    <row r="4">
      <c r="A4" s="35" t="s">
        <v>1890</v>
      </c>
      <c r="B4" s="26" t="s">
        <v>1891</v>
      </c>
      <c r="C4" s="26" t="s">
        <v>1889</v>
      </c>
      <c r="D4" s="26">
        <v>7.0</v>
      </c>
      <c r="E4" s="26">
        <v>5.0</v>
      </c>
      <c r="F4" s="26">
        <v>3.0</v>
      </c>
      <c r="G4" s="26">
        <v>8.0</v>
      </c>
      <c r="H4" s="26">
        <v>8.0</v>
      </c>
      <c r="I4" s="26">
        <v>8.0</v>
      </c>
      <c r="J4" s="26">
        <v>3.0</v>
      </c>
      <c r="K4" s="25">
        <f t="shared" si="1"/>
        <v>6</v>
      </c>
    </row>
    <row r="5">
      <c r="A5" s="35" t="s">
        <v>138</v>
      </c>
      <c r="B5" s="26" t="s">
        <v>1892</v>
      </c>
      <c r="C5" s="26" t="s">
        <v>1889</v>
      </c>
      <c r="D5" s="26">
        <v>6.0</v>
      </c>
      <c r="E5" s="26">
        <v>4.0</v>
      </c>
      <c r="F5" s="26">
        <v>3.0</v>
      </c>
      <c r="G5" s="26">
        <v>10.0</v>
      </c>
      <c r="H5" s="26">
        <v>8.0</v>
      </c>
      <c r="I5" s="26">
        <v>7.0</v>
      </c>
      <c r="J5" s="26">
        <v>3.0</v>
      </c>
      <c r="K5" s="25">
        <f t="shared" si="1"/>
        <v>5.857142857</v>
      </c>
    </row>
    <row r="6">
      <c r="A6" s="35" t="s">
        <v>86</v>
      </c>
      <c r="B6" s="26" t="s">
        <v>1893</v>
      </c>
      <c r="C6" s="26" t="s">
        <v>1889</v>
      </c>
      <c r="D6" s="26">
        <v>8.0</v>
      </c>
      <c r="E6" s="26">
        <v>5.0</v>
      </c>
      <c r="F6" s="26">
        <v>3.0</v>
      </c>
      <c r="G6" s="26">
        <v>8.0</v>
      </c>
      <c r="H6" s="26">
        <v>9.0</v>
      </c>
      <c r="I6" s="26">
        <v>8.0</v>
      </c>
      <c r="J6" s="26">
        <v>3.0</v>
      </c>
      <c r="K6" s="25">
        <f t="shared" si="1"/>
        <v>6.285714286</v>
      </c>
    </row>
    <row r="7">
      <c r="A7" s="35" t="s">
        <v>114</v>
      </c>
      <c r="B7" s="26" t="s">
        <v>1894</v>
      </c>
      <c r="C7" s="26" t="s">
        <v>1889</v>
      </c>
      <c r="D7" s="26">
        <v>7.0</v>
      </c>
      <c r="E7" s="26">
        <v>5.0</v>
      </c>
      <c r="F7" s="26">
        <v>3.0</v>
      </c>
      <c r="G7" s="26">
        <v>8.0</v>
      </c>
      <c r="H7" s="26">
        <v>8.0</v>
      </c>
      <c r="I7" s="26">
        <v>8.0</v>
      </c>
      <c r="J7" s="26">
        <v>3.0</v>
      </c>
      <c r="K7" s="25">
        <f t="shared" si="1"/>
        <v>6</v>
      </c>
    </row>
    <row r="8">
      <c r="A8" s="35" t="s">
        <v>1895</v>
      </c>
      <c r="B8" s="26" t="s">
        <v>1896</v>
      </c>
      <c r="C8" s="26" t="s">
        <v>1889</v>
      </c>
      <c r="D8" s="26">
        <v>8.0</v>
      </c>
      <c r="E8" s="26">
        <v>5.0</v>
      </c>
      <c r="F8" s="26">
        <v>3.0</v>
      </c>
      <c r="G8" s="26">
        <v>9.0</v>
      </c>
      <c r="H8" s="26">
        <v>8.0</v>
      </c>
      <c r="I8" s="26">
        <v>8.0</v>
      </c>
      <c r="J8" s="26">
        <v>3.0</v>
      </c>
      <c r="K8" s="25">
        <f t="shared" si="1"/>
        <v>6.285714286</v>
      </c>
    </row>
    <row r="9">
      <c r="A9" s="35" t="s">
        <v>1897</v>
      </c>
      <c r="B9" s="26" t="s">
        <v>1898</v>
      </c>
      <c r="C9" s="26" t="s">
        <v>1889</v>
      </c>
      <c r="D9" s="26">
        <v>4.0</v>
      </c>
      <c r="E9" s="26">
        <v>3.0</v>
      </c>
      <c r="F9" s="26">
        <v>10.0</v>
      </c>
      <c r="G9" s="26">
        <v>5.0</v>
      </c>
      <c r="H9" s="26">
        <v>6.0</v>
      </c>
      <c r="I9" s="26">
        <v>5.0</v>
      </c>
      <c r="J9" s="26">
        <v>10.0</v>
      </c>
      <c r="K9" s="25">
        <f t="shared" si="1"/>
        <v>6.142857143</v>
      </c>
    </row>
    <row r="10">
      <c r="A10" s="35" t="s">
        <v>1899</v>
      </c>
      <c r="B10" s="26" t="s">
        <v>1900</v>
      </c>
      <c r="C10" s="26" t="s">
        <v>1889</v>
      </c>
      <c r="D10" s="26">
        <v>4.0</v>
      </c>
      <c r="E10" s="26">
        <v>3.0</v>
      </c>
      <c r="F10" s="26">
        <v>9.0</v>
      </c>
      <c r="G10" s="26">
        <v>5.0</v>
      </c>
      <c r="H10" s="26">
        <v>6.0</v>
      </c>
      <c r="I10" s="26">
        <v>5.0</v>
      </c>
      <c r="J10" s="26">
        <v>9.0</v>
      </c>
      <c r="K10" s="25">
        <f t="shared" si="1"/>
        <v>5.857142857</v>
      </c>
    </row>
    <row r="11">
      <c r="C11" s="9" t="s">
        <v>1901</v>
      </c>
    </row>
    <row r="12">
      <c r="A12" s="6" t="s">
        <v>692</v>
      </c>
      <c r="B12" s="9">
        <v>8363.0</v>
      </c>
      <c r="C12" s="9">
        <v>9.6</v>
      </c>
      <c r="F12" s="9" t="s">
        <v>1902</v>
      </c>
      <c r="G12" s="25">
        <f>11082*1.1</f>
        <v>12190.2</v>
      </c>
    </row>
    <row r="13">
      <c r="A13" s="6" t="s">
        <v>1903</v>
      </c>
      <c r="B13" s="25">
        <f>4993*1.1</f>
        <v>5492.3</v>
      </c>
      <c r="C13" s="9">
        <v>9.6</v>
      </c>
      <c r="F13" s="6" t="s">
        <v>802</v>
      </c>
      <c r="G13" s="9">
        <f>4457*1.1</f>
        <v>4902.7</v>
      </c>
    </row>
    <row r="14">
      <c r="A14" s="9" t="s">
        <v>1887</v>
      </c>
      <c r="B14" s="9">
        <v>14547.0</v>
      </c>
      <c r="F14" s="6" t="s">
        <v>1904</v>
      </c>
      <c r="G14" s="9">
        <f>1244*1.1</f>
        <v>1368.4</v>
      </c>
    </row>
    <row r="15">
      <c r="A15" s="6" t="s">
        <v>138</v>
      </c>
      <c r="B15" s="9">
        <v>10308.0</v>
      </c>
      <c r="C15" s="9">
        <v>8.9</v>
      </c>
      <c r="F15" s="6" t="s">
        <v>1905</v>
      </c>
      <c r="G15" s="25">
        <f>894*1.1</f>
        <v>983.4</v>
      </c>
    </row>
    <row r="16">
      <c r="A16" s="9" t="s">
        <v>1890</v>
      </c>
      <c r="B16" s="9" t="s">
        <v>1906</v>
      </c>
      <c r="F16" s="18" t="s">
        <v>1907</v>
      </c>
      <c r="G16" s="9" t="s">
        <v>1908</v>
      </c>
      <c r="H16" s="9" t="s">
        <v>1909</v>
      </c>
      <c r="I16" s="6" t="s">
        <v>1910</v>
      </c>
    </row>
    <row r="17">
      <c r="A17" s="6" t="s">
        <v>114</v>
      </c>
      <c r="B17" s="25">
        <f>4779*1.1</f>
        <v>5256.9</v>
      </c>
      <c r="C17" s="9">
        <v>9.3</v>
      </c>
      <c r="F17" s="6" t="s">
        <v>1431</v>
      </c>
      <c r="G17" s="9">
        <v>638.0</v>
      </c>
    </row>
    <row r="18">
      <c r="A18" s="6" t="s">
        <v>101</v>
      </c>
      <c r="B18" s="25">
        <f>3463*1.1</f>
        <v>3809.3</v>
      </c>
      <c r="F18" s="18" t="s">
        <v>1911</v>
      </c>
      <c r="G18" s="25">
        <f>1111*1.1</f>
        <v>1222.1</v>
      </c>
      <c r="H18" s="9" t="s">
        <v>1912</v>
      </c>
      <c r="I18" s="6" t="s">
        <v>1910</v>
      </c>
    </row>
  </sheetData>
  <hyperlinks>
    <hyperlink r:id="rId1" ref="A12"/>
    <hyperlink r:id="rId2" ref="A13"/>
    <hyperlink r:id="rId3" ref="F13"/>
    <hyperlink r:id="rId4" ref="F14"/>
    <hyperlink r:id="rId5" ref="A15"/>
    <hyperlink r:id="rId6" ref="F15"/>
    <hyperlink r:id="rId7" ref="F16"/>
    <hyperlink r:id="rId8" ref="I16"/>
    <hyperlink r:id="rId9" ref="A17"/>
    <hyperlink r:id="rId10" ref="F17"/>
    <hyperlink r:id="rId11" ref="A18"/>
    <hyperlink r:id="rId12" ref="F18"/>
    <hyperlink r:id="rId13" ref="I18"/>
  </hyperlinks>
  <drawing r:id="rId1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2" width="30.88"/>
    <col customWidth="1" min="5" max="5" width="13.88"/>
  </cols>
  <sheetData>
    <row r="1">
      <c r="A1" s="12">
        <v>45813.0</v>
      </c>
      <c r="B1" s="6" t="s">
        <v>1913</v>
      </c>
      <c r="E1" s="9" t="s">
        <v>1914</v>
      </c>
      <c r="F1" s="9" t="s">
        <v>1915</v>
      </c>
    </row>
    <row r="2">
      <c r="A2" s="36">
        <v>45812.0</v>
      </c>
      <c r="B2" s="6" t="s">
        <v>1916</v>
      </c>
      <c r="E2" s="37" t="s">
        <v>1917</v>
      </c>
      <c r="F2" s="9" t="s">
        <v>1918</v>
      </c>
    </row>
    <row r="3">
      <c r="A3" s="13">
        <v>45813.0</v>
      </c>
      <c r="B3" s="6" t="s">
        <v>76</v>
      </c>
      <c r="E3" s="37" t="s">
        <v>1917</v>
      </c>
      <c r="F3" s="9" t="s">
        <v>1919</v>
      </c>
    </row>
    <row r="4">
      <c r="A4" s="13">
        <v>45812.0</v>
      </c>
      <c r="B4" s="6" t="s">
        <v>1920</v>
      </c>
      <c r="E4" s="37" t="s">
        <v>1917</v>
      </c>
      <c r="F4" s="9" t="s">
        <v>1921</v>
      </c>
    </row>
    <row r="5">
      <c r="A5" s="36">
        <v>45812.0</v>
      </c>
      <c r="B5" s="6" t="s">
        <v>1922</v>
      </c>
      <c r="E5" s="37" t="s">
        <v>1917</v>
      </c>
      <c r="F5" s="9" t="s">
        <v>1923</v>
      </c>
    </row>
    <row r="7">
      <c r="E7" s="9" t="s">
        <v>1924</v>
      </c>
    </row>
    <row r="8">
      <c r="E8" s="37" t="s">
        <v>1917</v>
      </c>
      <c r="F8" s="9" t="s">
        <v>1925</v>
      </c>
    </row>
    <row r="9">
      <c r="A9" s="9" t="s">
        <v>189</v>
      </c>
      <c r="E9" s="37" t="s">
        <v>1917</v>
      </c>
      <c r="F9" s="9" t="s">
        <v>1926</v>
      </c>
    </row>
    <row r="10">
      <c r="A10" s="9" t="s">
        <v>191</v>
      </c>
      <c r="B10" s="19" t="s">
        <v>192</v>
      </c>
      <c r="C10" s="9" t="s">
        <v>182</v>
      </c>
      <c r="E10" s="37" t="s">
        <v>1917</v>
      </c>
      <c r="F10" s="6" t="s">
        <v>1927</v>
      </c>
    </row>
    <row r="11" ht="15.75" customHeight="1">
      <c r="A11" s="9" t="s">
        <v>193</v>
      </c>
      <c r="B11" s="9" t="s">
        <v>194</v>
      </c>
      <c r="C11" s="9" t="s">
        <v>182</v>
      </c>
      <c r="E11" s="37" t="s">
        <v>1917</v>
      </c>
      <c r="F11" s="6" t="s">
        <v>1928</v>
      </c>
    </row>
    <row r="12">
      <c r="A12" s="9" t="s">
        <v>195</v>
      </c>
      <c r="B12" s="9" t="s">
        <v>1929</v>
      </c>
      <c r="C12" s="9" t="s">
        <v>182</v>
      </c>
      <c r="E12" s="37" t="s">
        <v>1917</v>
      </c>
      <c r="F12" s="9" t="s">
        <v>1930</v>
      </c>
    </row>
    <row r="13">
      <c r="A13" s="9" t="s">
        <v>197</v>
      </c>
      <c r="B13" s="9" t="s">
        <v>198</v>
      </c>
      <c r="C13" s="9" t="s">
        <v>182</v>
      </c>
    </row>
  </sheetData>
  <hyperlinks>
    <hyperlink r:id="rId2" ref="B1"/>
    <hyperlink r:id="rId3" ref="B2"/>
    <hyperlink r:id="rId4" ref="B3"/>
    <hyperlink r:id="rId5" ref="B4"/>
    <hyperlink r:id="rId6" ref="B5"/>
    <hyperlink r:id="rId7" ref="F10"/>
    <hyperlink r:id="rId8" ref="F11"/>
  </hyperlinks>
  <drawing r:id="rId9"/>
  <legacyDrawing r:id="rId1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14.0"/>
    <col customWidth="1" min="3" max="3" width="21.25"/>
    <col customWidth="1" min="4" max="4" width="109.25"/>
    <col customWidth="1" min="5" max="5" width="14.75"/>
    <col customWidth="1" min="6" max="6" width="14.13"/>
  </cols>
  <sheetData>
    <row r="1">
      <c r="A1" s="23" t="s">
        <v>200</v>
      </c>
      <c r="B1" s="23" t="s">
        <v>202</v>
      </c>
      <c r="C1" s="23" t="s">
        <v>1931</v>
      </c>
      <c r="D1" s="23" t="s">
        <v>1932</v>
      </c>
      <c r="E1" s="3" t="s">
        <v>216</v>
      </c>
      <c r="F1" s="3" t="s">
        <v>217</v>
      </c>
      <c r="G1" s="3" t="s">
        <v>212</v>
      </c>
    </row>
    <row r="2">
      <c r="A2" s="9" t="s">
        <v>1716</v>
      </c>
      <c r="B2" s="9" t="s">
        <v>1717</v>
      </c>
      <c r="C2" s="9" t="s">
        <v>1718</v>
      </c>
      <c r="D2" s="9" t="s">
        <v>1719</v>
      </c>
      <c r="E2" s="9" t="s">
        <v>1933</v>
      </c>
      <c r="F2" s="9" t="s">
        <v>1934</v>
      </c>
      <c r="G2" s="29" t="str">
        <f t="shared" ref="G2:G7" si="1">HYPERLINK("https://www.google.com/maps/search/"&amp;ENCODEURL(A2&amp;", Positano, Italy"))</f>
        <v>https://www.google.com/maps/search/Ristorante%20La%20Cambusa%2C%20Positano%2C%20Italy</v>
      </c>
    </row>
    <row r="3">
      <c r="A3" s="9" t="s">
        <v>1554</v>
      </c>
      <c r="B3" s="9" t="s">
        <v>1723</v>
      </c>
      <c r="C3" s="9" t="s">
        <v>1724</v>
      </c>
      <c r="D3" s="9" t="s">
        <v>1725</v>
      </c>
      <c r="E3" s="9" t="s">
        <v>1935</v>
      </c>
      <c r="F3" s="9" t="s">
        <v>1936</v>
      </c>
      <c r="G3" s="29" t="str">
        <f t="shared" si="1"/>
        <v>https://www.google.com/maps/search/Casa%20e%20Bottega%2C%20Positano%2C%20Italy</v>
      </c>
    </row>
    <row r="4">
      <c r="A4" s="9" t="s">
        <v>1726</v>
      </c>
      <c r="B4" s="9" t="s">
        <v>1727</v>
      </c>
      <c r="C4" s="9" t="s">
        <v>1728</v>
      </c>
      <c r="D4" s="9" t="s">
        <v>1729</v>
      </c>
      <c r="E4" s="9" t="s">
        <v>1937</v>
      </c>
      <c r="F4" s="9" t="s">
        <v>1938</v>
      </c>
      <c r="G4" s="29" t="str">
        <f t="shared" si="1"/>
        <v>https://www.google.com/maps/search/Ristorante%20Il%20Capitano%2C%20Positano%2C%20Italy</v>
      </c>
    </row>
    <row r="5">
      <c r="A5" s="38" t="s">
        <v>1939</v>
      </c>
      <c r="B5" s="38" t="s">
        <v>1940</v>
      </c>
      <c r="C5" s="38" t="s">
        <v>1941</v>
      </c>
      <c r="D5" s="38" t="s">
        <v>1942</v>
      </c>
      <c r="E5" s="38" t="s">
        <v>1943</v>
      </c>
      <c r="F5" s="38" t="s">
        <v>1944</v>
      </c>
      <c r="G5" s="29" t="str">
        <f t="shared" si="1"/>
        <v>https://www.google.com/maps/search/Valle%20dei%20Mulini%2C%20Positano%2C%20Italy</v>
      </c>
    </row>
    <row r="6">
      <c r="A6" s="9" t="s">
        <v>1732</v>
      </c>
      <c r="B6" s="9" t="s">
        <v>1733</v>
      </c>
      <c r="C6" s="9" t="s">
        <v>1734</v>
      </c>
      <c r="D6" s="9" t="s">
        <v>1735</v>
      </c>
      <c r="E6" s="9" t="s">
        <v>1945</v>
      </c>
      <c r="F6" s="9" t="s">
        <v>1934</v>
      </c>
      <c r="G6" s="29" t="str">
        <f t="shared" si="1"/>
        <v>https://www.google.com/maps/search/Ristorante%20Da%20Bruno%2C%20Positano%2C%20Italy</v>
      </c>
    </row>
    <row r="7">
      <c r="A7" s="9" t="s">
        <v>1736</v>
      </c>
      <c r="B7" s="9" t="s">
        <v>1737</v>
      </c>
      <c r="C7" s="9" t="s">
        <v>1946</v>
      </c>
      <c r="D7" s="6" t="s">
        <v>1947</v>
      </c>
      <c r="E7" s="9" t="s">
        <v>1948</v>
      </c>
      <c r="F7" s="9" t="s">
        <v>1949</v>
      </c>
      <c r="G7" s="29" t="str">
        <f t="shared" si="1"/>
        <v>https://www.google.com/maps/search/Il%20Tridente%20Positano%2C%20Positano%2C%20Italy</v>
      </c>
    </row>
    <row r="9">
      <c r="D9" s="18" t="s">
        <v>1950</v>
      </c>
    </row>
    <row r="10">
      <c r="A10" s="29" t="str">
        <f t="shared" ref="A10:A15" si="2">HYPERLINK(G2,A2)</f>
        <v>Ristorante La Cambusa</v>
      </c>
      <c r="D10" s="39" t="s">
        <v>1951</v>
      </c>
    </row>
    <row r="11">
      <c r="A11" s="29" t="str">
        <f t="shared" si="2"/>
        <v>Casa e Bottega</v>
      </c>
      <c r="D11" s="39" t="s">
        <v>1952</v>
      </c>
    </row>
    <row r="12">
      <c r="A12" s="29" t="str">
        <f t="shared" si="2"/>
        <v>Ristorante Il Capitano</v>
      </c>
      <c r="D12" s="40"/>
    </row>
    <row r="13">
      <c r="A13" s="29" t="str">
        <f t="shared" si="2"/>
        <v>Valle dei Mulini</v>
      </c>
      <c r="D13" s="39" t="s">
        <v>1953</v>
      </c>
    </row>
    <row r="14">
      <c r="A14" s="29" t="str">
        <f t="shared" si="2"/>
        <v>Ristorante Da Bruno</v>
      </c>
      <c r="D14" s="39" t="s">
        <v>1954</v>
      </c>
    </row>
    <row r="15">
      <c r="A15" s="29" t="str">
        <f t="shared" si="2"/>
        <v>Il Tridente Positano</v>
      </c>
      <c r="D15" s="40"/>
    </row>
    <row r="16">
      <c r="D16" s="39" t="s">
        <v>1955</v>
      </c>
    </row>
    <row r="17">
      <c r="D17" s="40"/>
    </row>
    <row r="18">
      <c r="D18" s="39" t="s">
        <v>1956</v>
      </c>
    </row>
  </sheetData>
  <hyperlinks>
    <hyperlink r:id="rId1" ref="D7"/>
    <hyperlink r:id="rId2" ref="D9"/>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5"/>
    <col customWidth="1" min="4" max="4" width="57.88"/>
    <col customWidth="1" min="5" max="5" width="43.63"/>
    <col customWidth="1" min="6" max="6" width="44.63"/>
    <col customWidth="1" min="7" max="7" width="87.38"/>
    <col customWidth="1" min="8" max="8" width="72.88"/>
    <col customWidth="1" min="9" max="10" width="26.0"/>
  </cols>
  <sheetData>
    <row r="1">
      <c r="A1" s="41" t="s">
        <v>200</v>
      </c>
      <c r="B1" s="23" t="s">
        <v>202</v>
      </c>
      <c r="C1" s="23" t="s">
        <v>203</v>
      </c>
      <c r="D1" s="23" t="s">
        <v>204</v>
      </c>
      <c r="E1" s="23" t="s">
        <v>208</v>
      </c>
      <c r="F1" s="23" t="s">
        <v>206</v>
      </c>
      <c r="G1" s="3" t="s">
        <v>212</v>
      </c>
      <c r="H1" s="23" t="s">
        <v>205</v>
      </c>
      <c r="I1" s="23" t="s">
        <v>213</v>
      </c>
      <c r="J1" s="23" t="s">
        <v>209</v>
      </c>
      <c r="K1" s="23" t="s">
        <v>210</v>
      </c>
      <c r="L1" s="23" t="s">
        <v>211</v>
      </c>
      <c r="M1" s="23"/>
      <c r="N1" s="23"/>
    </row>
    <row r="2">
      <c r="A2" s="9" t="s">
        <v>389</v>
      </c>
      <c r="B2" s="9" t="s">
        <v>133</v>
      </c>
      <c r="C2" s="9" t="s">
        <v>390</v>
      </c>
      <c r="D2" s="9" t="s">
        <v>391</v>
      </c>
      <c r="E2" s="9" t="s">
        <v>395</v>
      </c>
      <c r="F2" s="9" t="s">
        <v>393</v>
      </c>
      <c r="G2" s="29" t="str">
        <f t="shared" ref="G2:G25" si="1">HYPERLINK("https://www.google.com/maps/search/"&amp;ENCODEURL(A2))</f>
        <v>https://www.google.com/maps/search/Artemisia%20Domus%20%28Naples%29</v>
      </c>
      <c r="H2" s="9" t="s">
        <v>392</v>
      </c>
      <c r="I2" s="6" t="s">
        <v>1957</v>
      </c>
      <c r="J2" s="9" t="s">
        <v>396</v>
      </c>
      <c r="K2" s="9">
        <f>IFERROR(__xludf.DUMMYFUNCTION("SPLIT(J2,"", "")"),40.845634)</f>
        <v>40.845634</v>
      </c>
      <c r="L2" s="9">
        <f>IFERROR(__xludf.DUMMYFUNCTION("""COMPUTED_VALUE"""),14.2517054)</f>
        <v>14.2517054</v>
      </c>
    </row>
    <row r="3">
      <c r="A3" s="9" t="s">
        <v>400</v>
      </c>
      <c r="B3" s="9" t="s">
        <v>133</v>
      </c>
      <c r="C3" s="9" t="s">
        <v>390</v>
      </c>
      <c r="D3" s="9" t="s">
        <v>401</v>
      </c>
      <c r="E3" s="9" t="s">
        <v>404</v>
      </c>
      <c r="F3" s="9" t="s">
        <v>393</v>
      </c>
      <c r="G3" s="29" t="str">
        <f t="shared" si="1"/>
        <v>https://www.google.com/maps/search/The%20Britannique%20by%20Hilton%20%28Naples%29</v>
      </c>
      <c r="H3" s="9" t="s">
        <v>402</v>
      </c>
      <c r="I3" s="6" t="s">
        <v>1958</v>
      </c>
      <c r="J3" s="9" t="s">
        <v>405</v>
      </c>
      <c r="K3" s="9">
        <f>IFERROR(__xludf.DUMMYFUNCTION("SPLIT(J3,"", "")"),40.836915)</f>
        <v>40.836915</v>
      </c>
      <c r="L3" s="9">
        <f>IFERROR(__xludf.DUMMYFUNCTION("""COMPUTED_VALUE"""),14.2296809)</f>
        <v>14.2296809</v>
      </c>
    </row>
    <row r="4">
      <c r="A4" s="9" t="s">
        <v>407</v>
      </c>
      <c r="B4" s="9" t="s">
        <v>408</v>
      </c>
      <c r="C4" s="9" t="s">
        <v>409</v>
      </c>
      <c r="D4" s="9" t="s">
        <v>410</v>
      </c>
      <c r="E4" s="9" t="s">
        <v>414</v>
      </c>
      <c r="F4" s="34" t="s">
        <v>1959</v>
      </c>
      <c r="G4" s="29" t="str">
        <f t="shared" si="1"/>
        <v>https://www.google.com/maps/search/Gino%20Sorbillo%20%28Naples%29</v>
      </c>
      <c r="H4" s="9" t="s">
        <v>411</v>
      </c>
      <c r="I4" s="6" t="s">
        <v>1960</v>
      </c>
      <c r="J4" s="9" t="s">
        <v>415</v>
      </c>
      <c r="K4" s="9">
        <f>IFERROR(__xludf.DUMMYFUNCTION("SPLIT(J4,"", "")"),40.850421)</f>
        <v>40.850421</v>
      </c>
      <c r="L4" s="9">
        <f>IFERROR(__xludf.DUMMYFUNCTION("""COMPUTED_VALUE"""),14.2553143)</f>
        <v>14.2553143</v>
      </c>
    </row>
    <row r="5">
      <c r="A5" s="9" t="s">
        <v>416</v>
      </c>
      <c r="B5" s="9" t="s">
        <v>408</v>
      </c>
      <c r="C5" s="9" t="s">
        <v>409</v>
      </c>
      <c r="D5" s="9" t="s">
        <v>417</v>
      </c>
      <c r="E5" s="9" t="s">
        <v>420</v>
      </c>
      <c r="F5" s="9" t="s">
        <v>419</v>
      </c>
      <c r="G5" s="29" t="str">
        <f t="shared" si="1"/>
        <v>https://www.google.com/maps/search/L%E2%80%99Antica%20Pizzeria%20da%20Michele%20%28Naples%29</v>
      </c>
      <c r="H5" s="9" t="s">
        <v>418</v>
      </c>
      <c r="I5" s="6" t="s">
        <v>1961</v>
      </c>
      <c r="J5" s="9" t="s">
        <v>421</v>
      </c>
      <c r="K5" s="9">
        <f>IFERROR(__xludf.DUMMYFUNCTION("SPLIT(J5,"", "")"),40.8497752)</f>
        <v>40.8497752</v>
      </c>
      <c r="L5" s="9">
        <f>IFERROR(__xludf.DUMMYFUNCTION("""COMPUTED_VALUE"""),14.2632371)</f>
        <v>14.2632371</v>
      </c>
    </row>
    <row r="6">
      <c r="A6" s="9" t="s">
        <v>422</v>
      </c>
      <c r="B6" s="9" t="s">
        <v>423</v>
      </c>
      <c r="C6" s="9" t="s">
        <v>222</v>
      </c>
      <c r="D6" s="9" t="s">
        <v>424</v>
      </c>
      <c r="E6" s="9" t="s">
        <v>428</v>
      </c>
      <c r="F6" s="9" t="s">
        <v>426</v>
      </c>
      <c r="G6" s="29" t="str">
        <f t="shared" si="1"/>
        <v>https://www.google.com/maps/search/Gay%E2%80%91Odin%20%28Naples%29</v>
      </c>
      <c r="H6" s="9" t="s">
        <v>425</v>
      </c>
      <c r="I6" s="6" t="s">
        <v>1962</v>
      </c>
      <c r="J6" s="9" t="s">
        <v>429</v>
      </c>
      <c r="K6" s="9">
        <f>IFERROR(__xludf.DUMMYFUNCTION("SPLIT(J6,"", "")"),40.8496856)</f>
        <v>40.8496856</v>
      </c>
      <c r="L6" s="9">
        <f>IFERROR(__xludf.DUMMYFUNCTION("""COMPUTED_VALUE"""),14.2589603)</f>
        <v>14.2589603</v>
      </c>
    </row>
    <row r="7">
      <c r="A7" s="9" t="s">
        <v>430</v>
      </c>
      <c r="B7" s="9" t="s">
        <v>133</v>
      </c>
      <c r="C7" s="9" t="s">
        <v>390</v>
      </c>
      <c r="D7" s="9" t="s">
        <v>431</v>
      </c>
      <c r="E7" s="9" t="s">
        <v>433</v>
      </c>
      <c r="F7" s="9" t="s">
        <v>393</v>
      </c>
      <c r="G7" s="29" t="str">
        <f t="shared" si="1"/>
        <v>https://www.google.com/maps/search/Hotel%20Villa%20Brunella%20%28Capri%29</v>
      </c>
      <c r="H7" s="9" t="s">
        <v>432</v>
      </c>
      <c r="I7" s="6" t="s">
        <v>1963</v>
      </c>
      <c r="J7" s="9" t="s">
        <v>434</v>
      </c>
      <c r="K7" s="9">
        <f>IFERROR(__xludf.DUMMYFUNCTION("SPLIT(J7,"", "")"),40.5461439)</f>
        <v>40.5461439</v>
      </c>
      <c r="L7" s="9">
        <f>IFERROR(__xludf.DUMMYFUNCTION("""COMPUTED_VALUE"""),14.2495769)</f>
        <v>14.2495769</v>
      </c>
    </row>
    <row r="8">
      <c r="A8" s="9" t="s">
        <v>435</v>
      </c>
      <c r="B8" s="9" t="s">
        <v>133</v>
      </c>
      <c r="C8" s="9" t="s">
        <v>390</v>
      </c>
      <c r="D8" s="9" t="s">
        <v>436</v>
      </c>
      <c r="E8" s="9" t="s">
        <v>438</v>
      </c>
      <c r="F8" s="9" t="s">
        <v>393</v>
      </c>
      <c r="G8" s="29" t="str">
        <f t="shared" si="1"/>
        <v>https://www.google.com/maps/search/JK%20Place%20Capri%20%28Capri%29</v>
      </c>
      <c r="H8" s="9" t="s">
        <v>437</v>
      </c>
      <c r="I8" s="6" t="s">
        <v>1964</v>
      </c>
      <c r="J8" s="9" t="s">
        <v>439</v>
      </c>
      <c r="K8" s="9">
        <f>IFERROR(__xludf.DUMMYFUNCTION("SPLIT(J8,"", "")"),40.5498793999999)</f>
        <v>40.5498794</v>
      </c>
      <c r="L8" s="9">
        <f>IFERROR(__xludf.DUMMYFUNCTION("""COMPUTED_VALUE"""),14.2401657)</f>
        <v>14.2401657</v>
      </c>
    </row>
    <row r="9">
      <c r="A9" s="3" t="s">
        <v>45</v>
      </c>
      <c r="B9" s="9" t="s">
        <v>440</v>
      </c>
      <c r="C9" s="9" t="s">
        <v>441</v>
      </c>
      <c r="D9" s="9" t="s">
        <v>442</v>
      </c>
      <c r="E9" s="9" t="s">
        <v>446</v>
      </c>
      <c r="F9" s="9" t="s">
        <v>444</v>
      </c>
      <c r="G9" s="29" t="str">
        <f t="shared" si="1"/>
        <v>https://www.google.com/maps/search/La%20Fontelina%20%28Capri%29</v>
      </c>
      <c r="H9" s="9" t="s">
        <v>443</v>
      </c>
      <c r="I9" s="6" t="s">
        <v>1965</v>
      </c>
      <c r="J9" s="9" t="s">
        <v>447</v>
      </c>
      <c r="K9" s="9">
        <f>IFERROR(__xludf.DUMMYFUNCTION("SPLIT(J9,"", "")"),40.5434303)</f>
        <v>40.5434303</v>
      </c>
      <c r="L9" s="9">
        <f>IFERROR(__xludf.DUMMYFUNCTION("""COMPUTED_VALUE"""),14.2523999)</f>
        <v>14.2523999</v>
      </c>
    </row>
    <row r="10">
      <c r="A10" s="9" t="s">
        <v>448</v>
      </c>
      <c r="B10" s="9" t="s">
        <v>408</v>
      </c>
      <c r="C10" s="9" t="s">
        <v>270</v>
      </c>
      <c r="D10" s="9" t="s">
        <v>449</v>
      </c>
      <c r="E10" s="9" t="s">
        <v>453</v>
      </c>
      <c r="F10" s="9" t="s">
        <v>451</v>
      </c>
      <c r="G10" s="29" t="str">
        <f t="shared" si="1"/>
        <v>https://www.google.com/maps/search/Da%20Gelsomina%20%28Capri%29</v>
      </c>
      <c r="H10" s="9" t="s">
        <v>450</v>
      </c>
      <c r="I10" s="6" t="s">
        <v>1966</v>
      </c>
      <c r="J10" s="9" t="s">
        <v>454</v>
      </c>
      <c r="K10" s="9">
        <f>IFERROR(__xludf.DUMMYFUNCTION("SPLIT(J10,"", "")"),40.5409493)</f>
        <v>40.5409493</v>
      </c>
      <c r="L10" s="9">
        <f>IFERROR(__xludf.DUMMYFUNCTION("""COMPUTED_VALUE"""),14.2102105)</f>
        <v>14.2102105</v>
      </c>
    </row>
    <row r="11">
      <c r="A11" s="9" t="s">
        <v>455</v>
      </c>
      <c r="B11" s="9" t="s">
        <v>133</v>
      </c>
      <c r="C11" s="9" t="s">
        <v>390</v>
      </c>
      <c r="D11" s="9" t="s">
        <v>456</v>
      </c>
      <c r="E11" s="9" t="s">
        <v>459</v>
      </c>
      <c r="F11" s="9" t="s">
        <v>458</v>
      </c>
      <c r="G11" s="29" t="str">
        <f t="shared" si="1"/>
        <v>https://www.google.com/maps/search/Belmond%20Hotel%20Caruso%20%28Ravello%29</v>
      </c>
      <c r="H11" s="9" t="s">
        <v>457</v>
      </c>
      <c r="I11" s="6" t="s">
        <v>1967</v>
      </c>
      <c r="J11" s="9" t="s">
        <v>460</v>
      </c>
      <c r="K11" s="9">
        <f>IFERROR(__xludf.DUMMYFUNCTION("SPLIT(J11,"", "")"),40.6514101)</f>
        <v>40.6514101</v>
      </c>
      <c r="L11" s="9">
        <f>IFERROR(__xludf.DUMMYFUNCTION("""COMPUTED_VALUE"""),14.6129723)</f>
        <v>14.6129723</v>
      </c>
    </row>
    <row r="12">
      <c r="A12" s="9" t="s">
        <v>461</v>
      </c>
      <c r="B12" s="9" t="s">
        <v>133</v>
      </c>
      <c r="C12" s="9" t="s">
        <v>390</v>
      </c>
      <c r="D12" s="9" t="s">
        <v>462</v>
      </c>
      <c r="E12" s="9" t="s">
        <v>466</v>
      </c>
      <c r="F12" s="9" t="s">
        <v>464</v>
      </c>
      <c r="G12" s="29" t="str">
        <f t="shared" si="1"/>
        <v>https://www.google.com/maps/search/Villa%20Maria%20Ravello</v>
      </c>
      <c r="H12" s="9" t="s">
        <v>463</v>
      </c>
      <c r="I12" s="6" t="s">
        <v>1968</v>
      </c>
      <c r="J12" s="9" t="s">
        <v>467</v>
      </c>
      <c r="K12" s="9">
        <f>IFERROR(__xludf.DUMMYFUNCTION("SPLIT(J12,"", "")"),40.6468104)</f>
        <v>40.6468104</v>
      </c>
      <c r="L12" s="9">
        <f>IFERROR(__xludf.DUMMYFUNCTION("""COMPUTED_VALUE"""),14.6103006)</f>
        <v>14.6103006</v>
      </c>
    </row>
    <row r="13">
      <c r="A13" s="9" t="s">
        <v>468</v>
      </c>
      <c r="B13" s="9" t="s">
        <v>469</v>
      </c>
      <c r="C13" s="9" t="s">
        <v>470</v>
      </c>
      <c r="D13" s="9" t="s">
        <v>471</v>
      </c>
      <c r="E13" s="9" t="s">
        <v>475</v>
      </c>
      <c r="F13" s="9" t="s">
        <v>473</v>
      </c>
      <c r="G13" s="29" t="str">
        <f t="shared" si="1"/>
        <v>https://www.google.com/maps/search/Villa%20Rufolo%20%28Ravello%29</v>
      </c>
      <c r="H13" s="9" t="s">
        <v>472</v>
      </c>
      <c r="I13" s="6" t="s">
        <v>1969</v>
      </c>
      <c r="J13" s="9" t="s">
        <v>476</v>
      </c>
      <c r="K13" s="9">
        <f>IFERROR(__xludf.DUMMYFUNCTION("SPLIT(J13,"", "")"),40.6491825)</f>
        <v>40.6491825</v>
      </c>
      <c r="L13" s="9">
        <f>IFERROR(__xludf.DUMMYFUNCTION("""COMPUTED_VALUE"""),14.6116481)</f>
        <v>14.6116481</v>
      </c>
    </row>
    <row r="14">
      <c r="A14" s="9" t="s">
        <v>477</v>
      </c>
      <c r="B14" s="9" t="s">
        <v>478</v>
      </c>
      <c r="C14" s="9" t="s">
        <v>479</v>
      </c>
      <c r="D14" s="9" t="s">
        <v>480</v>
      </c>
      <c r="E14" s="9" t="s">
        <v>483</v>
      </c>
      <c r="F14" s="9" t="s">
        <v>482</v>
      </c>
      <c r="G14" s="29" t="str">
        <f t="shared" si="1"/>
        <v>https://www.google.com/maps/search/Wagner%20Tours%20%28Wine%20Experience%2C%20Ravello%29</v>
      </c>
      <c r="H14" s="9" t="s">
        <v>481</v>
      </c>
      <c r="I14" s="6" t="s">
        <v>1970</v>
      </c>
      <c r="J14" s="9" t="s">
        <v>484</v>
      </c>
      <c r="K14" s="9">
        <f>IFERROR(__xludf.DUMMYFUNCTION("SPLIT(J14,"", "")"),40.6515802)</f>
        <v>40.6515802</v>
      </c>
      <c r="L14" s="9">
        <f>IFERROR(__xludf.DUMMYFUNCTION("""COMPUTED_VALUE"""),14.6140606)</f>
        <v>14.6140606</v>
      </c>
    </row>
    <row r="15">
      <c r="A15" s="9" t="s">
        <v>485</v>
      </c>
      <c r="B15" s="9" t="s">
        <v>408</v>
      </c>
      <c r="C15" s="9" t="s">
        <v>291</v>
      </c>
      <c r="D15" s="9" t="s">
        <v>486</v>
      </c>
      <c r="E15" s="9" t="s">
        <v>490</v>
      </c>
      <c r="F15" s="9" t="s">
        <v>488</v>
      </c>
      <c r="G15" s="29" t="str">
        <f t="shared" si="1"/>
        <v>https://www.google.com/maps/search/Rossellinis%20at%20Palazzo%20Avino%20%28Ravello%29</v>
      </c>
      <c r="H15" s="9" t="s">
        <v>487</v>
      </c>
      <c r="I15" s="6" t="s">
        <v>1971</v>
      </c>
      <c r="J15" s="9" t="s">
        <v>491</v>
      </c>
      <c r="K15" s="9">
        <f>IFERROR(__xludf.DUMMYFUNCTION("SPLIT(J15,"", "")"),40.6504913)</f>
        <v>40.6504913</v>
      </c>
      <c r="L15" s="9">
        <f>IFERROR(__xludf.DUMMYFUNCTION("""COMPUTED_VALUE"""),14.6129035)</f>
        <v>14.6129035</v>
      </c>
    </row>
    <row r="16">
      <c r="A16" s="9" t="s">
        <v>492</v>
      </c>
      <c r="B16" s="9" t="s">
        <v>133</v>
      </c>
      <c r="C16" s="9" t="s">
        <v>390</v>
      </c>
      <c r="D16" s="9" t="s">
        <v>493</v>
      </c>
      <c r="E16" s="9" t="s">
        <v>497</v>
      </c>
      <c r="F16" s="9" t="s">
        <v>495</v>
      </c>
      <c r="G16" s="29" t="str">
        <f t="shared" si="1"/>
        <v>https://www.google.com/maps/search/Casa%20Angelina%20%28Praiano%29</v>
      </c>
      <c r="H16" s="9" t="s">
        <v>494</v>
      </c>
      <c r="I16" s="6" t="s">
        <v>1972</v>
      </c>
      <c r="J16" s="9" t="s">
        <v>498</v>
      </c>
      <c r="K16" s="9">
        <f>IFERROR(__xludf.DUMMYFUNCTION("SPLIT(J16,"", "")"),40.6117319)</f>
        <v>40.6117319</v>
      </c>
      <c r="L16" s="9">
        <f>IFERROR(__xludf.DUMMYFUNCTION("""COMPUTED_VALUE"""),14.5335099)</f>
        <v>14.5335099</v>
      </c>
    </row>
    <row r="17">
      <c r="A17" s="9" t="s">
        <v>499</v>
      </c>
      <c r="B17" s="9" t="s">
        <v>133</v>
      </c>
      <c r="C17" s="9" t="s">
        <v>390</v>
      </c>
      <c r="D17" s="9" t="s">
        <v>500</v>
      </c>
      <c r="E17" s="9" t="s">
        <v>503</v>
      </c>
      <c r="F17" s="9" t="s">
        <v>502</v>
      </c>
      <c r="G17" s="29" t="str">
        <f t="shared" si="1"/>
        <v>https://www.google.com/maps/search/Monastero%20Santa%20Rosa%20Hotel%20%28Conca%20dei%20Marini%29</v>
      </c>
      <c r="H17" s="9" t="s">
        <v>501</v>
      </c>
      <c r="I17" s="6" t="s">
        <v>1973</v>
      </c>
      <c r="J17" s="9" t="s">
        <v>504</v>
      </c>
      <c r="K17" s="9">
        <f>IFERROR(__xludf.DUMMYFUNCTION("SPLIT(J17,"", "")"),40.6163236)</f>
        <v>40.6163236</v>
      </c>
      <c r="L17" s="9">
        <f>IFERROR(__xludf.DUMMYFUNCTION("""COMPUTED_VALUE"""),14.5753912)</f>
        <v>14.5753912</v>
      </c>
    </row>
    <row r="18">
      <c r="A18" s="9" t="s">
        <v>505</v>
      </c>
      <c r="B18" s="9" t="s">
        <v>440</v>
      </c>
      <c r="C18" s="9" t="s">
        <v>441</v>
      </c>
      <c r="D18" s="9" t="s">
        <v>506</v>
      </c>
      <c r="E18" s="9" t="s">
        <v>509</v>
      </c>
      <c r="F18" s="9" t="s">
        <v>508</v>
      </c>
      <c r="G18" s="29" t="str">
        <f t="shared" si="1"/>
        <v>https://www.google.com/maps/search/One%20Fire%20Beach%20Club%20%28Praiano%29</v>
      </c>
      <c r="H18" s="9" t="s">
        <v>507</v>
      </c>
      <c r="I18" s="6" t="s">
        <v>1974</v>
      </c>
      <c r="J18" s="9" t="s">
        <v>510</v>
      </c>
      <c r="K18" s="9">
        <f>IFERROR(__xludf.DUMMYFUNCTION("SPLIT(J18,"", "")"),40.6134729)</f>
        <v>40.6134729</v>
      </c>
      <c r="L18" s="9">
        <f>IFERROR(__xludf.DUMMYFUNCTION("""COMPUTED_VALUE"""),14.5394424)</f>
        <v>14.5394424</v>
      </c>
    </row>
    <row r="19">
      <c r="A19" s="9" t="s">
        <v>511</v>
      </c>
      <c r="B19" s="9" t="s">
        <v>440</v>
      </c>
      <c r="C19" s="9" t="s">
        <v>441</v>
      </c>
      <c r="D19" s="9" t="s">
        <v>512</v>
      </c>
      <c r="E19" s="9" t="s">
        <v>514</v>
      </c>
      <c r="F19" s="9" t="s">
        <v>508</v>
      </c>
      <c r="G19" s="29" t="str">
        <f t="shared" si="1"/>
        <v>https://www.google.com/maps/search/Lido%20degli%20Artisti%20%28Praiano%29</v>
      </c>
      <c r="H19" s="9" t="s">
        <v>513</v>
      </c>
      <c r="I19" s="6" t="s">
        <v>1975</v>
      </c>
      <c r="J19" s="9" t="s">
        <v>515</v>
      </c>
      <c r="K19" s="9">
        <f>IFERROR(__xludf.DUMMYFUNCTION("SPLIT(J19,"", "")"),40.6138362)</f>
        <v>40.6138362</v>
      </c>
      <c r="L19" s="9">
        <f>IFERROR(__xludf.DUMMYFUNCTION("""COMPUTED_VALUE"""),14.5204525)</f>
        <v>14.5204525</v>
      </c>
    </row>
    <row r="20">
      <c r="A20" s="9" t="s">
        <v>516</v>
      </c>
      <c r="B20" s="9" t="s">
        <v>408</v>
      </c>
      <c r="C20" s="9" t="s">
        <v>291</v>
      </c>
      <c r="D20" s="9" t="s">
        <v>517</v>
      </c>
      <c r="E20" s="9" t="s">
        <v>503</v>
      </c>
      <c r="F20" s="9" t="s">
        <v>519</v>
      </c>
      <c r="G20" s="29" t="str">
        <f t="shared" si="1"/>
        <v>https://www.google.com/maps/search/Il%20Refettorio%20%28Monastero%20Santa%20Rosa%29</v>
      </c>
      <c r="H20" s="9" t="s">
        <v>518</v>
      </c>
      <c r="I20" s="6" t="s">
        <v>1976</v>
      </c>
      <c r="J20" s="9" t="s">
        <v>504</v>
      </c>
      <c r="K20" s="9">
        <f>IFERROR(__xludf.DUMMYFUNCTION("SPLIT(J20,"", "")"),40.6163236)</f>
        <v>40.6163236</v>
      </c>
      <c r="L20" s="9">
        <f>IFERROR(__xludf.DUMMYFUNCTION("""COMPUTED_VALUE"""),14.5753912)</f>
        <v>14.5753912</v>
      </c>
    </row>
    <row r="21">
      <c r="A21" s="9" t="s">
        <v>520</v>
      </c>
      <c r="B21" s="9" t="s">
        <v>408</v>
      </c>
      <c r="C21" s="9" t="s">
        <v>521</v>
      </c>
      <c r="D21" s="9" t="s">
        <v>522</v>
      </c>
      <c r="E21" s="9" t="s">
        <v>525</v>
      </c>
      <c r="F21" s="9" t="s">
        <v>451</v>
      </c>
      <c r="G21" s="29" t="str">
        <f t="shared" si="1"/>
        <v>https://www.google.com/maps/search/Kasai%20%28Praiano%29</v>
      </c>
      <c r="H21" s="9" t="s">
        <v>523</v>
      </c>
      <c r="I21" s="6" t="s">
        <v>1977</v>
      </c>
      <c r="J21" s="9" t="s">
        <v>526</v>
      </c>
      <c r="K21" s="9">
        <f>IFERROR(__xludf.DUMMYFUNCTION("SPLIT(J21,"", "")"),40.6087328)</f>
        <v>40.6087328</v>
      </c>
      <c r="L21" s="9">
        <f>IFERROR(__xludf.DUMMYFUNCTION("""COMPUTED_VALUE"""),14.5268626)</f>
        <v>14.5268626</v>
      </c>
    </row>
    <row r="22">
      <c r="A22" s="3" t="s">
        <v>57</v>
      </c>
      <c r="B22" s="9" t="s">
        <v>527</v>
      </c>
      <c r="C22" s="9" t="s">
        <v>528</v>
      </c>
      <c r="D22" s="9" t="s">
        <v>529</v>
      </c>
      <c r="E22" s="9" t="s">
        <v>533</v>
      </c>
      <c r="F22" s="9" t="s">
        <v>531</v>
      </c>
      <c r="G22" s="29" t="str">
        <f t="shared" si="1"/>
        <v>https://www.google.com/maps/search/La%20Tagliata%20%28Positano%29</v>
      </c>
      <c r="H22" s="9" t="s">
        <v>530</v>
      </c>
      <c r="I22" s="6" t="s">
        <v>1978</v>
      </c>
      <c r="J22" s="9" t="s">
        <v>534</v>
      </c>
      <c r="K22" s="9">
        <f>IFERROR(__xludf.DUMMYFUNCTION("SPLIT(J22,"", "")"),40.6332256)</f>
        <v>40.6332256</v>
      </c>
      <c r="L22" s="9">
        <f>IFERROR(__xludf.DUMMYFUNCTION("""COMPUTED_VALUE"""),14.4930882)</f>
        <v>14.4930882</v>
      </c>
    </row>
    <row r="23">
      <c r="A23" s="9" t="s">
        <v>535</v>
      </c>
      <c r="B23" s="9" t="s">
        <v>527</v>
      </c>
      <c r="C23" s="9" t="s">
        <v>528</v>
      </c>
      <c r="D23" s="9" t="s">
        <v>536</v>
      </c>
      <c r="E23" s="9" t="s">
        <v>539</v>
      </c>
      <c r="F23" s="9" t="s">
        <v>538</v>
      </c>
      <c r="G23" s="29" t="str">
        <f t="shared" si="1"/>
        <v>https://www.google.com/maps/search/Mamma%20Agata%20%28Ravello%29</v>
      </c>
      <c r="H23" s="9" t="s">
        <v>537</v>
      </c>
      <c r="I23" s="6" t="s">
        <v>1979</v>
      </c>
      <c r="J23" s="9" t="s">
        <v>540</v>
      </c>
      <c r="K23" s="9">
        <f>IFERROR(__xludf.DUMMYFUNCTION("SPLIT(J23,"", "")"),40.6484534)</f>
        <v>40.6484534</v>
      </c>
      <c r="L23" s="9">
        <f>IFERROR(__xludf.DUMMYFUNCTION("""COMPUTED_VALUE"""),14.6118254)</f>
        <v>14.6118254</v>
      </c>
    </row>
    <row r="24">
      <c r="A24" s="9" t="s">
        <v>541</v>
      </c>
      <c r="B24" s="9" t="s">
        <v>542</v>
      </c>
      <c r="C24" s="9" t="s">
        <v>543</v>
      </c>
      <c r="D24" s="9" t="s">
        <v>544</v>
      </c>
      <c r="E24" s="9" t="s">
        <v>547</v>
      </c>
      <c r="F24" s="9" t="s">
        <v>546</v>
      </c>
      <c r="G24" s="29" t="str">
        <f t="shared" si="1"/>
        <v>https://www.google.com/maps/search/Franco%E2%80%99s%20Bar%20%28Positano%29</v>
      </c>
      <c r="H24" s="9" t="s">
        <v>545</v>
      </c>
      <c r="I24" s="6" t="s">
        <v>1980</v>
      </c>
      <c r="J24" s="9" t="s">
        <v>548</v>
      </c>
      <c r="K24" s="9">
        <f>IFERROR(__xludf.DUMMYFUNCTION("SPLIT(J24,"", "")"),40.6287893)</f>
        <v>40.6287893</v>
      </c>
      <c r="L24" s="9">
        <f>IFERROR(__xludf.DUMMYFUNCTION("""COMPUTED_VALUE"""),14.4815807)</f>
        <v>14.4815807</v>
      </c>
    </row>
    <row r="25">
      <c r="A25" s="3" t="s">
        <v>69</v>
      </c>
      <c r="B25" s="9" t="s">
        <v>408</v>
      </c>
      <c r="C25" s="9" t="s">
        <v>291</v>
      </c>
      <c r="D25" s="9" t="s">
        <v>549</v>
      </c>
      <c r="E25" s="9" t="s">
        <v>552</v>
      </c>
      <c r="F25" s="9" t="s">
        <v>551</v>
      </c>
      <c r="G25" s="29" t="str">
        <f t="shared" si="1"/>
        <v>https://www.google.com/maps/search/Ristorante%20Il%20Pirata%20%28Praiano%29</v>
      </c>
      <c r="H25" s="9" t="s">
        <v>550</v>
      </c>
      <c r="I25" s="6" t="s">
        <v>1981</v>
      </c>
      <c r="J25" s="9" t="s">
        <v>553</v>
      </c>
      <c r="K25" s="9">
        <f>IFERROR(__xludf.DUMMYFUNCTION("SPLIT(J25,"", "")"),40.6142489)</f>
        <v>40.6142489</v>
      </c>
      <c r="L25" s="9">
        <f>IFERROR(__xludf.DUMMYFUNCTION("""COMPUTED_VALUE"""),14.5392983)</f>
        <v>14.5392983</v>
      </c>
    </row>
  </sheetData>
  <hyperlinks>
    <hyperlink r:id="rId1" ref="I2"/>
    <hyperlink r:id="rId2" ref="I3"/>
    <hyperlink r:id="rId3" ref="F4"/>
    <hyperlink r:id="rId4" ref="I4"/>
    <hyperlink r:id="rId5" ref="I5"/>
    <hyperlink r:id="rId6" ref="I6"/>
    <hyperlink r:id="rId7" ref="I7"/>
    <hyperlink r:id="rId8" ref="I8"/>
    <hyperlink r:id="rId9" ref="I9"/>
    <hyperlink r:id="rId10" ref="I10"/>
    <hyperlink r:id="rId11" ref="I11"/>
    <hyperlink r:id="rId12" ref="I12"/>
    <hyperlink r:id="rId13" ref="I13"/>
    <hyperlink r:id="rId14" ref="I14"/>
    <hyperlink r:id="rId15" ref="I15"/>
    <hyperlink r:id="rId16" ref="I16"/>
    <hyperlink r:id="rId17" ref="I17"/>
    <hyperlink r:id="rId18" ref="I18"/>
    <hyperlink r:id="rId19" ref="I19"/>
    <hyperlink r:id="rId20" ref="I20"/>
    <hyperlink r:id="rId21" ref="I21"/>
    <hyperlink r:id="rId22" ref="I22"/>
    <hyperlink r:id="rId23" ref="I23"/>
    <hyperlink r:id="rId24" ref="I24"/>
    <hyperlink r:id="rId25" ref="I25"/>
  </hyperlinks>
  <drawing r:id="rId2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8.63"/>
    <col customWidth="1" min="3" max="3" width="17.75"/>
    <col customWidth="1" min="4" max="4" width="4.63"/>
    <col customWidth="1" min="5" max="5" width="89.25"/>
    <col customWidth="1" min="6" max="6" width="25.63"/>
    <col customWidth="1" min="7" max="7" width="66.25"/>
    <col customWidth="1" min="8" max="8" width="34.25"/>
    <col customWidth="1" min="9" max="9" width="62.88"/>
  </cols>
  <sheetData>
    <row r="1">
      <c r="A1" s="20" t="s">
        <v>200</v>
      </c>
      <c r="B1" s="20" t="s">
        <v>1982</v>
      </c>
      <c r="C1" s="20" t="s">
        <v>202</v>
      </c>
      <c r="D1" s="20" t="s">
        <v>203</v>
      </c>
      <c r="E1" s="20" t="s">
        <v>204</v>
      </c>
      <c r="F1" s="20" t="s">
        <v>1983</v>
      </c>
      <c r="G1" s="20" t="s">
        <v>205</v>
      </c>
      <c r="H1" s="20" t="s">
        <v>212</v>
      </c>
      <c r="I1" s="20" t="s">
        <v>208</v>
      </c>
      <c r="J1" s="20" t="s">
        <v>213</v>
      </c>
      <c r="K1" s="20" t="s">
        <v>209</v>
      </c>
      <c r="L1" s="20" t="s">
        <v>210</v>
      </c>
      <c r="M1" s="20" t="s">
        <v>211</v>
      </c>
    </row>
    <row r="2">
      <c r="A2" s="42" t="s">
        <v>554</v>
      </c>
      <c r="B2" s="26" t="s">
        <v>255</v>
      </c>
      <c r="C2" s="26" t="s">
        <v>133</v>
      </c>
      <c r="D2" s="43" t="s">
        <v>390</v>
      </c>
      <c r="E2" s="26" t="s">
        <v>555</v>
      </c>
      <c r="F2" s="26" t="s">
        <v>557</v>
      </c>
      <c r="G2" s="26" t="s">
        <v>556</v>
      </c>
      <c r="H2" s="29" t="str">
        <f t="shared" ref="H2:H67" si="1">HYPERLINK("https://www.google.com/maps/search/"&amp;ENCODEURL(A2))</f>
        <v>https://www.google.com/maps/search/Romeo%20Hotel%20Naples</v>
      </c>
      <c r="I2" s="9" t="s">
        <v>558</v>
      </c>
      <c r="J2" s="6" t="s">
        <v>1984</v>
      </c>
      <c r="K2" s="9" t="s">
        <v>559</v>
      </c>
      <c r="L2" s="9">
        <v>40.8403661</v>
      </c>
      <c r="M2" s="9">
        <v>14.2558654</v>
      </c>
    </row>
    <row r="3">
      <c r="A3" s="42" t="s">
        <v>562</v>
      </c>
      <c r="B3" s="26" t="s">
        <v>255</v>
      </c>
      <c r="C3" s="26" t="s">
        <v>563</v>
      </c>
      <c r="D3" s="43" t="s">
        <v>470</v>
      </c>
      <c r="E3" s="26" t="s">
        <v>564</v>
      </c>
      <c r="F3" s="26" t="s">
        <v>566</v>
      </c>
      <c r="G3" s="26" t="s">
        <v>565</v>
      </c>
      <c r="H3" s="29" t="str">
        <f t="shared" si="1"/>
        <v>https://www.google.com/maps/search/Spaccanapoli</v>
      </c>
      <c r="I3" s="9" t="s">
        <v>567</v>
      </c>
      <c r="J3" s="6" t="s">
        <v>1985</v>
      </c>
      <c r="K3" s="9" t="s">
        <v>568</v>
      </c>
      <c r="L3" s="9">
        <v>40.8517746</v>
      </c>
      <c r="M3" s="9">
        <v>14.2681244</v>
      </c>
    </row>
    <row r="4">
      <c r="A4" s="42" t="s">
        <v>569</v>
      </c>
      <c r="B4" s="26" t="s">
        <v>255</v>
      </c>
      <c r="C4" s="26" t="s">
        <v>570</v>
      </c>
      <c r="D4" s="43" t="s">
        <v>571</v>
      </c>
      <c r="E4" s="26" t="s">
        <v>572</v>
      </c>
      <c r="F4" s="26" t="s">
        <v>574</v>
      </c>
      <c r="G4" s="26" t="s">
        <v>573</v>
      </c>
      <c r="H4" s="29" t="str">
        <f t="shared" si="1"/>
        <v>https://www.google.com/maps/search/Naples%20Cathedral%20%28Duomo%29</v>
      </c>
      <c r="I4" s="9" t="s">
        <v>575</v>
      </c>
      <c r="J4" s="6" t="s">
        <v>1986</v>
      </c>
      <c r="K4" s="9" t="s">
        <v>576</v>
      </c>
      <c r="L4" s="9">
        <v>40.8531893</v>
      </c>
      <c r="M4" s="9">
        <v>14.2603334</v>
      </c>
    </row>
    <row r="5">
      <c r="A5" s="42" t="s">
        <v>577</v>
      </c>
      <c r="B5" s="26" t="s">
        <v>255</v>
      </c>
      <c r="C5" s="26" t="s">
        <v>578</v>
      </c>
      <c r="D5" s="43" t="s">
        <v>579</v>
      </c>
      <c r="E5" s="26" t="s">
        <v>580</v>
      </c>
      <c r="F5" s="26" t="s">
        <v>582</v>
      </c>
      <c r="G5" s="26" t="s">
        <v>581</v>
      </c>
      <c r="H5" s="29" t="str">
        <f t="shared" si="1"/>
        <v>https://www.google.com/maps/search/San%20Gregorio%20Armeno</v>
      </c>
      <c r="I5" s="9" t="s">
        <v>583</v>
      </c>
      <c r="J5" s="6" t="s">
        <v>1987</v>
      </c>
      <c r="K5" s="9" t="s">
        <v>584</v>
      </c>
      <c r="L5" s="9">
        <v>40.8500804</v>
      </c>
      <c r="M5" s="9">
        <v>14.2578099</v>
      </c>
    </row>
    <row r="6">
      <c r="A6" s="42" t="s">
        <v>585</v>
      </c>
      <c r="B6" s="26" t="s">
        <v>255</v>
      </c>
      <c r="C6" s="26" t="s">
        <v>586</v>
      </c>
      <c r="D6" s="43" t="s">
        <v>470</v>
      </c>
      <c r="E6" s="26" t="s">
        <v>587</v>
      </c>
      <c r="F6" s="26" t="s">
        <v>566</v>
      </c>
      <c r="G6" s="26" t="s">
        <v>588</v>
      </c>
      <c r="H6" s="29" t="str">
        <f t="shared" si="1"/>
        <v>https://www.google.com/maps/search/Piazza%20del%20Ges%C3%B9%20Nuovo</v>
      </c>
      <c r="I6" s="9" t="s">
        <v>589</v>
      </c>
      <c r="J6" s="6" t="s">
        <v>1988</v>
      </c>
      <c r="K6" s="9" t="s">
        <v>590</v>
      </c>
      <c r="L6" s="9">
        <v>40.8469688</v>
      </c>
      <c r="M6" s="9">
        <v>14.2517718</v>
      </c>
    </row>
    <row r="7">
      <c r="A7" s="42" t="s">
        <v>591</v>
      </c>
      <c r="B7" s="26" t="s">
        <v>255</v>
      </c>
      <c r="C7" s="26" t="s">
        <v>408</v>
      </c>
      <c r="D7" s="43" t="s">
        <v>521</v>
      </c>
      <c r="E7" s="26" t="s">
        <v>592</v>
      </c>
      <c r="F7" s="26" t="s">
        <v>594</v>
      </c>
      <c r="G7" s="26" t="s">
        <v>593</v>
      </c>
      <c r="H7" s="29" t="str">
        <f t="shared" si="1"/>
        <v>https://www.google.com/maps/search/La%20Locanda%20Ges%C3%B9%20Vecchio</v>
      </c>
      <c r="I7" s="9" t="s">
        <v>595</v>
      </c>
      <c r="J7" s="6" t="s">
        <v>1989</v>
      </c>
      <c r="K7" s="9" t="s">
        <v>596</v>
      </c>
      <c r="L7" s="9">
        <v>40.8472376</v>
      </c>
      <c r="M7" s="9">
        <v>14.2571481</v>
      </c>
    </row>
    <row r="8">
      <c r="A8" s="42" t="s">
        <v>597</v>
      </c>
      <c r="B8" s="26" t="s">
        <v>255</v>
      </c>
      <c r="C8" s="26" t="s">
        <v>598</v>
      </c>
      <c r="D8" s="43" t="s">
        <v>291</v>
      </c>
      <c r="E8" s="26" t="s">
        <v>599</v>
      </c>
      <c r="F8" s="26" t="s">
        <v>601</v>
      </c>
      <c r="G8" s="26" t="s">
        <v>600</v>
      </c>
      <c r="H8" s="29" t="str">
        <f t="shared" si="1"/>
        <v>https://www.google.com/maps/search/Palazzo%20Petrucci</v>
      </c>
      <c r="I8" s="9" t="s">
        <v>602</v>
      </c>
      <c r="J8" s="6" t="s">
        <v>1990</v>
      </c>
      <c r="K8" s="9" t="s">
        <v>603</v>
      </c>
      <c r="L8" s="9">
        <v>40.8483036</v>
      </c>
      <c r="M8" s="9">
        <v>14.254577</v>
      </c>
    </row>
    <row r="9">
      <c r="A9" s="42" t="s">
        <v>604</v>
      </c>
      <c r="B9" s="26" t="s">
        <v>255</v>
      </c>
      <c r="C9" s="26" t="s">
        <v>598</v>
      </c>
      <c r="D9" s="43" t="s">
        <v>605</v>
      </c>
      <c r="E9" s="26" t="s">
        <v>606</v>
      </c>
      <c r="F9" s="26" t="s">
        <v>601</v>
      </c>
      <c r="G9" s="26" t="s">
        <v>607</v>
      </c>
      <c r="H9" s="29" t="str">
        <f t="shared" si="1"/>
        <v>https://www.google.com/maps/search/Veritas</v>
      </c>
      <c r="I9" s="9" t="s">
        <v>608</v>
      </c>
      <c r="J9" s="6" t="s">
        <v>1991</v>
      </c>
      <c r="K9" s="9" t="s">
        <v>609</v>
      </c>
      <c r="L9" s="9">
        <v>40.8372389</v>
      </c>
      <c r="M9" s="9">
        <v>14.2313759</v>
      </c>
    </row>
    <row r="10">
      <c r="A10" s="42" t="s">
        <v>610</v>
      </c>
      <c r="B10" s="26" t="s">
        <v>255</v>
      </c>
      <c r="C10" s="26" t="s">
        <v>611</v>
      </c>
      <c r="D10" s="43" t="s">
        <v>521</v>
      </c>
      <c r="E10" s="26" t="s">
        <v>612</v>
      </c>
      <c r="F10" s="26" t="s">
        <v>614</v>
      </c>
      <c r="G10" s="26" t="s">
        <v>613</v>
      </c>
      <c r="H10" s="29" t="str">
        <f t="shared" si="1"/>
        <v>https://www.google.com/maps/search/Mim%C3%AC%20alla%20Ferrovia</v>
      </c>
      <c r="I10" s="9" t="s">
        <v>615</v>
      </c>
      <c r="J10" s="6" t="s">
        <v>1992</v>
      </c>
      <c r="K10" s="9" t="s">
        <v>616</v>
      </c>
      <c r="L10" s="9">
        <v>40.8535418</v>
      </c>
      <c r="M10" s="9">
        <v>14.2671748</v>
      </c>
    </row>
    <row r="11">
      <c r="A11" s="42" t="s">
        <v>617</v>
      </c>
      <c r="B11" s="26" t="s">
        <v>255</v>
      </c>
      <c r="C11" s="26" t="s">
        <v>618</v>
      </c>
      <c r="D11" s="43" t="s">
        <v>247</v>
      </c>
      <c r="E11" s="26" t="s">
        <v>182</v>
      </c>
      <c r="F11" s="26" t="s">
        <v>620</v>
      </c>
      <c r="G11" s="26" t="s">
        <v>619</v>
      </c>
      <c r="H11" s="29" t="str">
        <f t="shared" si="1"/>
        <v>https://www.google.com/maps/search/Caff%C3%A8%20Gambrinus</v>
      </c>
      <c r="I11" s="9" t="s">
        <v>621</v>
      </c>
      <c r="J11" s="6" t="s">
        <v>1993</v>
      </c>
      <c r="K11" s="9" t="s">
        <v>622</v>
      </c>
      <c r="L11" s="9">
        <v>40.8367945</v>
      </c>
      <c r="M11" s="9">
        <v>14.248479</v>
      </c>
    </row>
    <row r="12">
      <c r="A12" s="42" t="s">
        <v>623</v>
      </c>
      <c r="B12" s="26" t="s">
        <v>255</v>
      </c>
      <c r="C12" s="26" t="s">
        <v>624</v>
      </c>
      <c r="D12" s="43" t="s">
        <v>625</v>
      </c>
      <c r="E12" s="26" t="s">
        <v>626</v>
      </c>
      <c r="F12" s="26" t="s">
        <v>628</v>
      </c>
      <c r="G12" s="26" t="s">
        <v>627</v>
      </c>
      <c r="H12" s="29" t="str">
        <f t="shared" si="1"/>
        <v>https://www.google.com/maps/search/Scaturchio</v>
      </c>
      <c r="I12" s="9" t="s">
        <v>629</v>
      </c>
      <c r="J12" s="6" t="s">
        <v>1994</v>
      </c>
      <c r="K12" s="9" t="s">
        <v>630</v>
      </c>
      <c r="L12" s="9">
        <v>40.8482509</v>
      </c>
      <c r="M12" s="9">
        <v>14.2549272</v>
      </c>
    </row>
    <row r="13">
      <c r="A13" s="42" t="s">
        <v>631</v>
      </c>
      <c r="B13" s="26" t="s">
        <v>255</v>
      </c>
      <c r="C13" s="26" t="s">
        <v>632</v>
      </c>
      <c r="D13" s="43" t="s">
        <v>470</v>
      </c>
      <c r="E13" s="26" t="s">
        <v>633</v>
      </c>
      <c r="F13" s="26" t="s">
        <v>635</v>
      </c>
      <c r="G13" s="26" t="s">
        <v>634</v>
      </c>
      <c r="H13" s="29" t="str">
        <f t="shared" si="1"/>
        <v>https://www.google.com/maps/search/National%20Archaeological%20Museum</v>
      </c>
      <c r="I13" s="9" t="s">
        <v>636</v>
      </c>
      <c r="J13" s="6" t="s">
        <v>1995</v>
      </c>
      <c r="K13" s="9" t="s">
        <v>637</v>
      </c>
      <c r="L13" s="9">
        <v>40.8534745</v>
      </c>
      <c r="M13" s="9">
        <v>14.2512744</v>
      </c>
    </row>
    <row r="14">
      <c r="A14" s="42" t="s">
        <v>638</v>
      </c>
      <c r="B14" s="26" t="s">
        <v>255</v>
      </c>
      <c r="C14" s="26" t="s">
        <v>639</v>
      </c>
      <c r="D14" s="43" t="s">
        <v>640</v>
      </c>
      <c r="E14" s="26" t="s">
        <v>641</v>
      </c>
      <c r="F14" s="26" t="s">
        <v>643</v>
      </c>
      <c r="G14" s="26" t="s">
        <v>642</v>
      </c>
      <c r="H14" s="29" t="str">
        <f t="shared" si="1"/>
        <v>https://www.google.com/maps/search/Palazzo%20Reale</v>
      </c>
      <c r="I14" s="9" t="s">
        <v>645</v>
      </c>
      <c r="J14" s="6" t="s">
        <v>1996</v>
      </c>
      <c r="K14" s="9" t="s">
        <v>646</v>
      </c>
      <c r="L14" s="9">
        <v>40.8369443</v>
      </c>
      <c r="M14" s="9">
        <v>14.2494124</v>
      </c>
    </row>
    <row r="15">
      <c r="A15" s="42" t="s">
        <v>647</v>
      </c>
      <c r="B15" s="26" t="s">
        <v>255</v>
      </c>
      <c r="C15" s="26" t="s">
        <v>648</v>
      </c>
      <c r="D15" s="43" t="s">
        <v>649</v>
      </c>
      <c r="E15" s="26" t="s">
        <v>650</v>
      </c>
      <c r="F15" s="26" t="s">
        <v>652</v>
      </c>
      <c r="G15" s="26" t="s">
        <v>651</v>
      </c>
      <c r="H15" s="29" t="str">
        <f t="shared" si="1"/>
        <v>https://www.google.com/maps/search/Castel%20dell%27Ovo</v>
      </c>
      <c r="I15" s="9" t="s">
        <v>653</v>
      </c>
      <c r="J15" s="6" t="s">
        <v>1997</v>
      </c>
      <c r="K15" s="9" t="s">
        <v>654</v>
      </c>
      <c r="L15" s="9">
        <v>40.8279173</v>
      </c>
      <c r="M15" s="9">
        <v>14.2484676</v>
      </c>
    </row>
    <row r="16">
      <c r="A16" s="42" t="s">
        <v>655</v>
      </c>
      <c r="B16" s="26" t="s">
        <v>255</v>
      </c>
      <c r="C16" s="26" t="s">
        <v>656</v>
      </c>
      <c r="D16" s="43" t="s">
        <v>657</v>
      </c>
      <c r="E16" s="26" t="s">
        <v>658</v>
      </c>
      <c r="F16" s="26" t="s">
        <v>660</v>
      </c>
      <c r="G16" s="26" t="s">
        <v>659</v>
      </c>
      <c r="H16" s="29" t="str">
        <f t="shared" si="1"/>
        <v>https://www.google.com/maps/search/Via%20Toledo</v>
      </c>
      <c r="I16" s="9" t="s">
        <v>661</v>
      </c>
      <c r="J16" s="6" t="s">
        <v>1998</v>
      </c>
      <c r="K16" s="9" t="s">
        <v>662</v>
      </c>
      <c r="L16" s="9">
        <v>40.8428212</v>
      </c>
      <c r="M16" s="9">
        <v>14.248904</v>
      </c>
    </row>
    <row r="17">
      <c r="A17" s="42" t="s">
        <v>663</v>
      </c>
      <c r="B17" s="26" t="s">
        <v>255</v>
      </c>
      <c r="C17" s="26" t="s">
        <v>664</v>
      </c>
      <c r="D17" s="43" t="s">
        <v>470</v>
      </c>
      <c r="E17" s="26" t="s">
        <v>665</v>
      </c>
      <c r="F17" s="26" t="s">
        <v>660</v>
      </c>
      <c r="G17" s="26" t="s">
        <v>666</v>
      </c>
      <c r="H17" s="29" t="str">
        <f t="shared" si="1"/>
        <v>https://www.google.com/maps/search/Galleria%20Umberto%20I</v>
      </c>
      <c r="I17" s="9" t="s">
        <v>667</v>
      </c>
      <c r="J17" s="6" t="s">
        <v>1999</v>
      </c>
      <c r="K17" s="9" t="s">
        <v>668</v>
      </c>
      <c r="L17" s="9">
        <v>40.8385287</v>
      </c>
      <c r="M17" s="9">
        <v>14.2494785</v>
      </c>
    </row>
    <row r="18">
      <c r="A18" s="42" t="s">
        <v>669</v>
      </c>
      <c r="B18" s="26" t="s">
        <v>255</v>
      </c>
      <c r="C18" s="26" t="s">
        <v>670</v>
      </c>
      <c r="D18" s="43" t="s">
        <v>390</v>
      </c>
      <c r="E18" s="26" t="s">
        <v>671</v>
      </c>
      <c r="F18" s="26" t="s">
        <v>673</v>
      </c>
      <c r="G18" s="26" t="s">
        <v>672</v>
      </c>
      <c r="H18" s="29" t="str">
        <f t="shared" si="1"/>
        <v>https://www.google.com/maps/search/Casa%20d%27Anna%20ai%20Cristallini</v>
      </c>
      <c r="I18" s="9" t="s">
        <v>674</v>
      </c>
      <c r="J18" s="6" t="s">
        <v>2000</v>
      </c>
      <c r="K18" s="9" t="s">
        <v>675</v>
      </c>
      <c r="L18" s="9">
        <v>40.8575357</v>
      </c>
      <c r="M18" s="9">
        <v>14.2540213</v>
      </c>
    </row>
    <row r="19">
      <c r="A19" s="42" t="s">
        <v>676</v>
      </c>
      <c r="B19" s="26" t="s">
        <v>255</v>
      </c>
      <c r="C19" s="26" t="s">
        <v>677</v>
      </c>
      <c r="D19" s="43" t="s">
        <v>678</v>
      </c>
      <c r="E19" s="26" t="s">
        <v>679</v>
      </c>
      <c r="F19" s="26" t="s">
        <v>681</v>
      </c>
      <c r="G19" s="26" t="s">
        <v>680</v>
      </c>
      <c r="H19" s="29" t="str">
        <f t="shared" si="1"/>
        <v>https://www.google.com/maps/search/Naples%20Molo%20Beverello</v>
      </c>
      <c r="I19" s="9" t="s">
        <v>682</v>
      </c>
      <c r="J19" s="6" t="s">
        <v>2001</v>
      </c>
      <c r="K19" s="9" t="s">
        <v>683</v>
      </c>
      <c r="L19" s="9">
        <v>40.8382086</v>
      </c>
      <c r="M19" s="9">
        <v>14.2546268</v>
      </c>
    </row>
    <row r="20">
      <c r="A20" s="42" t="s">
        <v>684</v>
      </c>
      <c r="B20" s="26" t="s">
        <v>255</v>
      </c>
      <c r="C20" s="26" t="s">
        <v>685</v>
      </c>
      <c r="D20" s="43" t="s">
        <v>686</v>
      </c>
      <c r="E20" s="26" t="s">
        <v>687</v>
      </c>
      <c r="F20" s="26" t="s">
        <v>689</v>
      </c>
      <c r="G20" s="26" t="s">
        <v>688</v>
      </c>
      <c r="H20" s="29" t="str">
        <f t="shared" si="1"/>
        <v>https://www.google.com/maps/search/Naples%20International%20Airport%20%28NAP%29</v>
      </c>
      <c r="I20" s="9" t="s">
        <v>690</v>
      </c>
      <c r="J20" s="6" t="s">
        <v>2002</v>
      </c>
      <c r="K20" s="9" t="s">
        <v>691</v>
      </c>
      <c r="L20" s="9">
        <v>40.8846816</v>
      </c>
      <c r="M20" s="9">
        <v>14.2891552</v>
      </c>
    </row>
    <row r="21">
      <c r="A21" s="42" t="s">
        <v>692</v>
      </c>
      <c r="B21" s="26" t="s">
        <v>243</v>
      </c>
      <c r="C21" s="26" t="s">
        <v>693</v>
      </c>
      <c r="D21" s="43" t="s">
        <v>390</v>
      </c>
      <c r="E21" s="26" t="s">
        <v>694</v>
      </c>
      <c r="F21" s="26" t="s">
        <v>557</v>
      </c>
      <c r="G21" s="26" t="s">
        <v>695</v>
      </c>
      <c r="H21" s="29" t="str">
        <f t="shared" si="1"/>
        <v>https://www.google.com/maps/search/Hotel%20La%20Palma</v>
      </c>
      <c r="I21" s="9" t="s">
        <v>696</v>
      </c>
      <c r="J21" s="6" t="s">
        <v>2003</v>
      </c>
      <c r="K21" s="9" t="s">
        <v>697</v>
      </c>
      <c r="L21" s="9">
        <v>40.5503664</v>
      </c>
      <c r="M21" s="9">
        <v>14.2436652</v>
      </c>
    </row>
    <row r="22">
      <c r="A22" s="42" t="s">
        <v>698</v>
      </c>
      <c r="B22" s="26" t="s">
        <v>243</v>
      </c>
      <c r="C22" s="26" t="s">
        <v>677</v>
      </c>
      <c r="D22" s="43" t="s">
        <v>678</v>
      </c>
      <c r="E22" s="26" t="s">
        <v>699</v>
      </c>
      <c r="F22" s="26" t="s">
        <v>701</v>
      </c>
      <c r="G22" s="26" t="s">
        <v>700</v>
      </c>
      <c r="H22" s="29" t="str">
        <f t="shared" si="1"/>
        <v>https://www.google.com/maps/search/Capri%20Marina%20Grande</v>
      </c>
      <c r="I22" s="9" t="s">
        <v>702</v>
      </c>
      <c r="J22" s="6" t="s">
        <v>2004</v>
      </c>
      <c r="K22" s="9" t="s">
        <v>703</v>
      </c>
      <c r="L22" s="9">
        <v>40.5533968</v>
      </c>
      <c r="M22" s="9">
        <v>14.2381784</v>
      </c>
    </row>
    <row r="23">
      <c r="A23" s="42" t="s">
        <v>704</v>
      </c>
      <c r="B23" s="26" t="s">
        <v>243</v>
      </c>
      <c r="C23" s="26" t="s">
        <v>705</v>
      </c>
      <c r="D23" s="43" t="s">
        <v>470</v>
      </c>
      <c r="E23" s="26" t="s">
        <v>706</v>
      </c>
      <c r="F23" s="26" t="s">
        <v>566</v>
      </c>
      <c r="G23" s="26" t="s">
        <v>707</v>
      </c>
      <c r="H23" s="29" t="str">
        <f t="shared" si="1"/>
        <v>https://www.google.com/maps/search/La%20Piazzetta</v>
      </c>
      <c r="I23" s="9" t="s">
        <v>708</v>
      </c>
      <c r="J23" s="6" t="s">
        <v>2005</v>
      </c>
      <c r="K23" s="9" t="s">
        <v>709</v>
      </c>
      <c r="L23" s="9">
        <v>40.551337</v>
      </c>
      <c r="M23" s="9">
        <v>14.2433926</v>
      </c>
    </row>
    <row r="24">
      <c r="A24" s="42" t="s">
        <v>710</v>
      </c>
      <c r="B24" s="26" t="s">
        <v>243</v>
      </c>
      <c r="C24" s="26" t="s">
        <v>711</v>
      </c>
      <c r="D24" s="43" t="s">
        <v>657</v>
      </c>
      <c r="E24" s="26" t="s">
        <v>712</v>
      </c>
      <c r="F24" s="26" t="s">
        <v>714</v>
      </c>
      <c r="G24" s="26" t="s">
        <v>713</v>
      </c>
      <c r="H24" s="29" t="str">
        <f t="shared" si="1"/>
        <v>https://www.google.com/maps/search/Via%20Camerelle</v>
      </c>
      <c r="I24" s="9" t="s">
        <v>715</v>
      </c>
      <c r="J24" s="6" t="s">
        <v>2006</v>
      </c>
      <c r="K24" s="9" t="s">
        <v>716</v>
      </c>
      <c r="L24" s="9">
        <v>40.5498565</v>
      </c>
      <c r="M24" s="9">
        <v>14.2456523</v>
      </c>
    </row>
    <row r="25">
      <c r="A25" s="42" t="s">
        <v>717</v>
      </c>
      <c r="B25" s="26" t="s">
        <v>243</v>
      </c>
      <c r="C25" s="26" t="s">
        <v>718</v>
      </c>
      <c r="D25" s="43" t="s">
        <v>719</v>
      </c>
      <c r="E25" s="26" t="s">
        <v>720</v>
      </c>
      <c r="F25" s="26" t="s">
        <v>722</v>
      </c>
      <c r="G25" s="26" t="s">
        <v>721</v>
      </c>
      <c r="H25" s="29" t="str">
        <f t="shared" si="1"/>
        <v>https://www.google.com/maps/search/Gardens%20of%20Augustus</v>
      </c>
      <c r="I25" s="9" t="s">
        <v>723</v>
      </c>
      <c r="J25" s="6" t="s">
        <v>2007</v>
      </c>
      <c r="K25" s="9" t="s">
        <v>724</v>
      </c>
      <c r="L25" s="9">
        <v>40.5473022</v>
      </c>
      <c r="M25" s="9">
        <v>14.243206</v>
      </c>
    </row>
    <row r="26">
      <c r="A26" s="42" t="s">
        <v>725</v>
      </c>
      <c r="B26" s="26" t="s">
        <v>243</v>
      </c>
      <c r="C26" s="26" t="s">
        <v>726</v>
      </c>
      <c r="D26" s="43" t="s">
        <v>727</v>
      </c>
      <c r="E26" s="26" t="s">
        <v>728</v>
      </c>
      <c r="F26" s="26" t="s">
        <v>730</v>
      </c>
      <c r="G26" s="26" t="s">
        <v>729</v>
      </c>
      <c r="H26" s="29" t="str">
        <f t="shared" si="1"/>
        <v>https://www.google.com/maps/search/Via%20Krupp</v>
      </c>
      <c r="I26" s="9" t="s">
        <v>731</v>
      </c>
      <c r="J26" s="6" t="s">
        <v>2008</v>
      </c>
      <c r="K26" s="9" t="s">
        <v>732</v>
      </c>
      <c r="L26" s="9">
        <v>40.5461187</v>
      </c>
      <c r="M26" s="9">
        <v>14.2380416</v>
      </c>
    </row>
    <row r="27">
      <c r="A27" s="42" t="s">
        <v>301</v>
      </c>
      <c r="B27" s="26" t="s">
        <v>243</v>
      </c>
      <c r="C27" s="26" t="s">
        <v>408</v>
      </c>
      <c r="D27" s="43" t="s">
        <v>291</v>
      </c>
      <c r="E27" s="26" t="s">
        <v>733</v>
      </c>
      <c r="F27" s="26" t="s">
        <v>601</v>
      </c>
      <c r="G27" s="26" t="s">
        <v>734</v>
      </c>
      <c r="H27" s="29" t="str">
        <f t="shared" si="1"/>
        <v>https://www.google.com/maps/search/Aurora</v>
      </c>
      <c r="I27" s="9" t="s">
        <v>307</v>
      </c>
      <c r="J27" s="6" t="s">
        <v>2009</v>
      </c>
      <c r="K27" s="9" t="s">
        <v>308</v>
      </c>
      <c r="L27" s="9">
        <v>40.550878</v>
      </c>
      <c r="M27" s="9">
        <v>14.2450572</v>
      </c>
    </row>
    <row r="28">
      <c r="A28" s="44" t="s">
        <v>735</v>
      </c>
      <c r="B28" s="26" t="s">
        <v>243</v>
      </c>
      <c r="C28" s="26" t="s">
        <v>736</v>
      </c>
      <c r="D28" s="43" t="s">
        <v>737</v>
      </c>
      <c r="E28" s="26" t="s">
        <v>738</v>
      </c>
      <c r="F28" s="26" t="s">
        <v>740</v>
      </c>
      <c r="G28" s="26" t="s">
        <v>739</v>
      </c>
      <c r="H28" s="29" t="str">
        <f t="shared" si="1"/>
        <v>https://www.google.com/maps/search/Blue%20Grotto</v>
      </c>
      <c r="I28" s="9" t="s">
        <v>741</v>
      </c>
      <c r="J28" s="6" t="s">
        <v>2010</v>
      </c>
      <c r="K28" s="9" t="s">
        <v>742</v>
      </c>
      <c r="L28" s="9">
        <v>40.5609849</v>
      </c>
      <c r="M28" s="9">
        <v>14.2055931</v>
      </c>
    </row>
    <row r="29">
      <c r="A29" s="42" t="s">
        <v>743</v>
      </c>
      <c r="B29" s="26" t="s">
        <v>243</v>
      </c>
      <c r="C29" s="26" t="s">
        <v>744</v>
      </c>
      <c r="D29" s="43" t="s">
        <v>745</v>
      </c>
      <c r="E29" s="26" t="s">
        <v>746</v>
      </c>
      <c r="F29" s="26" t="s">
        <v>748</v>
      </c>
      <c r="G29" s="26" t="s">
        <v>747</v>
      </c>
      <c r="H29" s="29" t="str">
        <f t="shared" si="1"/>
        <v>https://www.google.com/maps/search/Faraglioni%20Rocks</v>
      </c>
      <c r="I29" s="9" t="s">
        <v>275</v>
      </c>
      <c r="J29" s="6" t="s">
        <v>2011</v>
      </c>
      <c r="K29" s="9" t="s">
        <v>286</v>
      </c>
      <c r="L29" s="9">
        <v>40.5507259</v>
      </c>
      <c r="M29" s="9">
        <v>14.2429</v>
      </c>
    </row>
    <row r="30">
      <c r="A30" s="42" t="s">
        <v>749</v>
      </c>
      <c r="B30" s="26" t="s">
        <v>243</v>
      </c>
      <c r="C30" s="26" t="s">
        <v>736</v>
      </c>
      <c r="D30" s="43" t="s">
        <v>737</v>
      </c>
      <c r="E30" s="26" t="s">
        <v>750</v>
      </c>
      <c r="F30" s="26" t="s">
        <v>740</v>
      </c>
      <c r="G30" s="26" t="s">
        <v>751</v>
      </c>
      <c r="H30" s="29" t="str">
        <f t="shared" si="1"/>
        <v>https://www.google.com/maps/search/Green%20Grotto</v>
      </c>
      <c r="I30" s="9" t="s">
        <v>753</v>
      </c>
      <c r="J30" s="6" t="s">
        <v>2012</v>
      </c>
      <c r="K30" s="9" t="s">
        <v>286</v>
      </c>
      <c r="L30" s="9">
        <v>40.5507259</v>
      </c>
      <c r="M30" s="9">
        <v>14.2429</v>
      </c>
    </row>
    <row r="31">
      <c r="A31" s="42" t="s">
        <v>754</v>
      </c>
      <c r="B31" s="26" t="s">
        <v>243</v>
      </c>
      <c r="C31" s="26" t="s">
        <v>755</v>
      </c>
      <c r="D31" s="43" t="s">
        <v>756</v>
      </c>
      <c r="E31" s="26" t="s">
        <v>757</v>
      </c>
      <c r="F31" s="26" t="s">
        <v>759</v>
      </c>
      <c r="G31" s="26" t="s">
        <v>758</v>
      </c>
      <c r="H31" s="29" t="str">
        <f t="shared" si="1"/>
        <v>https://www.google.com/maps/search/Il%20Riccio</v>
      </c>
      <c r="I31" s="9" t="s">
        <v>760</v>
      </c>
      <c r="J31" s="6" t="s">
        <v>2013</v>
      </c>
      <c r="K31" s="9" t="s">
        <v>761</v>
      </c>
      <c r="L31" s="9">
        <v>40.5608853</v>
      </c>
      <c r="M31" s="9">
        <v>14.203249</v>
      </c>
    </row>
    <row r="32">
      <c r="A32" s="42" t="s">
        <v>762</v>
      </c>
      <c r="B32" s="26" t="s">
        <v>79</v>
      </c>
      <c r="C32" s="26" t="s">
        <v>763</v>
      </c>
      <c r="D32" s="43" t="s">
        <v>470</v>
      </c>
      <c r="E32" s="26" t="s">
        <v>764</v>
      </c>
      <c r="F32" s="26" t="s">
        <v>766</v>
      </c>
      <c r="G32" s="26" t="s">
        <v>765</v>
      </c>
      <c r="H32" s="29" t="str">
        <f t="shared" si="1"/>
        <v>https://www.google.com/maps/search/Villa%20San%20Michele</v>
      </c>
      <c r="I32" s="9" t="s">
        <v>767</v>
      </c>
      <c r="J32" s="6" t="s">
        <v>2014</v>
      </c>
      <c r="K32" s="9" t="s">
        <v>768</v>
      </c>
      <c r="L32" s="9">
        <v>40.5572702</v>
      </c>
      <c r="M32" s="9">
        <v>14.2251246</v>
      </c>
    </row>
    <row r="33">
      <c r="A33" s="44" t="s">
        <v>769</v>
      </c>
      <c r="B33" s="26" t="s">
        <v>79</v>
      </c>
      <c r="C33" s="26" t="s">
        <v>770</v>
      </c>
      <c r="D33" s="43" t="s">
        <v>771</v>
      </c>
      <c r="E33" s="26" t="s">
        <v>772</v>
      </c>
      <c r="F33" s="26" t="s">
        <v>774</v>
      </c>
      <c r="G33" s="26" t="s">
        <v>773</v>
      </c>
      <c r="H33" s="29" t="str">
        <f t="shared" si="1"/>
        <v>https://www.google.com/maps/search/Monte%20Solaro%20Chairlift</v>
      </c>
      <c r="I33" s="9" t="s">
        <v>775</v>
      </c>
      <c r="J33" s="6" t="s">
        <v>2015</v>
      </c>
      <c r="K33" s="9" t="s">
        <v>776</v>
      </c>
      <c r="L33" s="9">
        <v>40.5554465</v>
      </c>
      <c r="M33" s="9">
        <v>14.221584</v>
      </c>
    </row>
    <row r="34">
      <c r="A34" s="44" t="s">
        <v>77</v>
      </c>
      <c r="B34" s="26" t="s">
        <v>243</v>
      </c>
      <c r="C34" s="26" t="s">
        <v>777</v>
      </c>
      <c r="D34" s="43" t="s">
        <v>778</v>
      </c>
      <c r="E34" s="26" t="s">
        <v>779</v>
      </c>
      <c r="F34" s="26" t="s">
        <v>601</v>
      </c>
      <c r="G34" s="26" t="s">
        <v>780</v>
      </c>
      <c r="H34" s="29" t="str">
        <f t="shared" si="1"/>
        <v>https://www.google.com/maps/search/da%20Paolino</v>
      </c>
      <c r="I34" s="9" t="s">
        <v>781</v>
      </c>
      <c r="J34" s="6" t="s">
        <v>2016</v>
      </c>
      <c r="K34" s="9" t="s">
        <v>782</v>
      </c>
      <c r="L34" s="9">
        <v>40.5585739</v>
      </c>
      <c r="M34" s="9">
        <v>14.2309054</v>
      </c>
    </row>
    <row r="35">
      <c r="A35" s="44" t="s">
        <v>784</v>
      </c>
      <c r="B35" s="26" t="s">
        <v>243</v>
      </c>
      <c r="C35" s="26" t="s">
        <v>440</v>
      </c>
      <c r="D35" s="43" t="s">
        <v>785</v>
      </c>
      <c r="E35" s="26" t="s">
        <v>786</v>
      </c>
      <c r="F35" s="26" t="s">
        <v>788</v>
      </c>
      <c r="G35" s="26" t="s">
        <v>787</v>
      </c>
      <c r="H35" s="29" t="str">
        <f t="shared" si="1"/>
        <v>https://www.google.com/maps/search/La%20Fontelina%20Beach%20Club</v>
      </c>
      <c r="I35" s="9" t="s">
        <v>789</v>
      </c>
      <c r="J35" s="6" t="s">
        <v>2017</v>
      </c>
      <c r="K35" s="9" t="s">
        <v>790</v>
      </c>
      <c r="L35" s="9">
        <v>40.5437871</v>
      </c>
      <c r="M35" s="9">
        <v>14.2510518</v>
      </c>
    </row>
    <row r="36">
      <c r="A36" s="42" t="s">
        <v>791</v>
      </c>
      <c r="B36" s="26" t="s">
        <v>243</v>
      </c>
      <c r="C36" s="26" t="s">
        <v>792</v>
      </c>
      <c r="D36" s="43" t="s">
        <v>605</v>
      </c>
      <c r="E36" s="26" t="s">
        <v>793</v>
      </c>
      <c r="F36" s="26" t="s">
        <v>601</v>
      </c>
      <c r="G36" s="26" t="s">
        <v>794</v>
      </c>
      <c r="H36" s="29" t="str">
        <f t="shared" si="1"/>
        <v>https://www.google.com/maps/search/Le%20Monz%C3%B9</v>
      </c>
      <c r="I36" s="9" t="s">
        <v>795</v>
      </c>
      <c r="J36" s="6" t="s">
        <v>2018</v>
      </c>
      <c r="K36" s="9" t="s">
        <v>796</v>
      </c>
      <c r="L36" s="9">
        <v>40.5452777</v>
      </c>
      <c r="M36" s="9">
        <v>14.2505134</v>
      </c>
    </row>
    <row r="37">
      <c r="A37" s="42" t="s">
        <v>797</v>
      </c>
      <c r="B37" s="26" t="s">
        <v>79</v>
      </c>
      <c r="C37" s="26" t="s">
        <v>792</v>
      </c>
      <c r="D37" s="43" t="s">
        <v>605</v>
      </c>
      <c r="E37" s="26" t="s">
        <v>798</v>
      </c>
      <c r="F37" s="26" t="s">
        <v>601</v>
      </c>
      <c r="G37" s="26" t="s">
        <v>799</v>
      </c>
      <c r="H37" s="29" t="str">
        <f t="shared" si="1"/>
        <v>https://www.google.com/maps/search/L%27Olivo</v>
      </c>
      <c r="I37" s="9" t="s">
        <v>800</v>
      </c>
      <c r="J37" s="6" t="s">
        <v>2019</v>
      </c>
      <c r="K37" s="9" t="s">
        <v>801</v>
      </c>
      <c r="L37" s="9">
        <v>40.5557415</v>
      </c>
      <c r="M37" s="9">
        <v>14.221837</v>
      </c>
    </row>
    <row r="38">
      <c r="A38" s="42" t="s">
        <v>802</v>
      </c>
      <c r="B38" s="26" t="s">
        <v>266</v>
      </c>
      <c r="C38" s="26" t="s">
        <v>693</v>
      </c>
      <c r="D38" s="43" t="s">
        <v>390</v>
      </c>
      <c r="E38" s="26" t="s">
        <v>803</v>
      </c>
      <c r="F38" s="26" t="s">
        <v>557</v>
      </c>
      <c r="G38" s="26" t="s">
        <v>804</v>
      </c>
      <c r="H38" s="29" t="str">
        <f t="shared" si="1"/>
        <v>https://www.google.com/maps/search/Palazzo%20Avino</v>
      </c>
      <c r="I38" s="9" t="s">
        <v>805</v>
      </c>
      <c r="J38" s="6" t="s">
        <v>2020</v>
      </c>
      <c r="K38" s="9" t="s">
        <v>806</v>
      </c>
      <c r="L38" s="9">
        <v>40.6508871</v>
      </c>
      <c r="M38" s="9">
        <v>14.6129698</v>
      </c>
    </row>
    <row r="39">
      <c r="A39" s="42" t="s">
        <v>807</v>
      </c>
      <c r="B39" s="26" t="s">
        <v>365</v>
      </c>
      <c r="C39" s="26" t="s">
        <v>693</v>
      </c>
      <c r="D39" s="43" t="s">
        <v>390</v>
      </c>
      <c r="E39" s="26" t="s">
        <v>808</v>
      </c>
      <c r="F39" s="26" t="s">
        <v>557</v>
      </c>
      <c r="G39" s="26" t="s">
        <v>809</v>
      </c>
      <c r="H39" s="29" t="str">
        <f t="shared" si="1"/>
        <v>https://www.google.com/maps/search/Borgo%20Santandrea</v>
      </c>
      <c r="I39" s="9" t="s">
        <v>810</v>
      </c>
      <c r="J39" s="6" t="s">
        <v>2021</v>
      </c>
      <c r="K39" s="9" t="s">
        <v>811</v>
      </c>
      <c r="L39" s="9">
        <v>40.6189299</v>
      </c>
      <c r="M39" s="9">
        <v>14.5764754</v>
      </c>
    </row>
    <row r="40">
      <c r="A40" s="42" t="s">
        <v>812</v>
      </c>
      <c r="B40" s="26" t="s">
        <v>266</v>
      </c>
      <c r="C40" s="26" t="s">
        <v>792</v>
      </c>
      <c r="D40" s="43" t="s">
        <v>605</v>
      </c>
      <c r="E40" s="26" t="s">
        <v>813</v>
      </c>
      <c r="F40" s="26" t="s">
        <v>601</v>
      </c>
      <c r="G40" s="26" t="s">
        <v>814</v>
      </c>
      <c r="H40" s="29" t="str">
        <f t="shared" si="1"/>
        <v>https://www.google.com/maps/search/Rossellini%27s</v>
      </c>
      <c r="I40" s="9" t="s">
        <v>805</v>
      </c>
      <c r="J40" s="6" t="s">
        <v>2022</v>
      </c>
      <c r="K40" s="9" t="s">
        <v>806</v>
      </c>
      <c r="L40" s="9">
        <v>40.6508871</v>
      </c>
      <c r="M40" s="9">
        <v>14.6129698</v>
      </c>
    </row>
    <row r="41">
      <c r="A41" s="42" t="s">
        <v>815</v>
      </c>
      <c r="B41" s="26" t="s">
        <v>365</v>
      </c>
      <c r="C41" s="26" t="s">
        <v>755</v>
      </c>
      <c r="D41" s="43" t="s">
        <v>291</v>
      </c>
      <c r="E41" s="26" t="s">
        <v>816</v>
      </c>
      <c r="F41" s="26" t="s">
        <v>614</v>
      </c>
      <c r="G41" s="26" t="s">
        <v>817</v>
      </c>
      <c r="H41" s="29" t="str">
        <f t="shared" si="1"/>
        <v>https://www.google.com/maps/search/Al%20Borgo</v>
      </c>
      <c r="I41" s="9" t="s">
        <v>818</v>
      </c>
      <c r="J41" s="6" t="s">
        <v>2023</v>
      </c>
      <c r="K41" s="9" t="s">
        <v>819</v>
      </c>
      <c r="L41" s="9">
        <v>40.6338303</v>
      </c>
      <c r="M41" s="9">
        <v>14.6027661</v>
      </c>
    </row>
    <row r="42">
      <c r="A42" s="44" t="s">
        <v>820</v>
      </c>
      <c r="B42" s="26" t="s">
        <v>61</v>
      </c>
      <c r="C42" s="26" t="s">
        <v>821</v>
      </c>
      <c r="D42" s="43" t="s">
        <v>822</v>
      </c>
      <c r="E42" s="26" t="s">
        <v>823</v>
      </c>
      <c r="F42" s="26" t="s">
        <v>825</v>
      </c>
      <c r="G42" s="26" t="s">
        <v>824</v>
      </c>
      <c r="H42" s="29" t="str">
        <f t="shared" si="1"/>
        <v>https://www.google.com/maps/search/La%20Tagliata</v>
      </c>
      <c r="I42" s="9" t="s">
        <v>826</v>
      </c>
      <c r="J42" s="6" t="s">
        <v>2024</v>
      </c>
      <c r="K42" s="9" t="s">
        <v>827</v>
      </c>
      <c r="L42" s="9">
        <v>40.6311822</v>
      </c>
      <c r="M42" s="9">
        <v>14.4971535</v>
      </c>
    </row>
    <row r="43">
      <c r="A43" s="42" t="s">
        <v>828</v>
      </c>
      <c r="B43" s="26" t="s">
        <v>61</v>
      </c>
      <c r="C43" s="26" t="s">
        <v>829</v>
      </c>
      <c r="D43" s="43" t="s">
        <v>785</v>
      </c>
      <c r="E43" s="26" t="s">
        <v>830</v>
      </c>
      <c r="F43" s="26" t="s">
        <v>832</v>
      </c>
      <c r="G43" s="26" t="s">
        <v>831</v>
      </c>
      <c r="H43" s="29" t="str">
        <f t="shared" si="1"/>
        <v>https://www.google.com/maps/search/Spiaggia%20Grande</v>
      </c>
      <c r="I43" s="9" t="s">
        <v>833</v>
      </c>
      <c r="J43" s="6" t="s">
        <v>2025</v>
      </c>
      <c r="K43" s="9" t="s">
        <v>834</v>
      </c>
      <c r="L43" s="9">
        <v>40.6278423</v>
      </c>
      <c r="M43" s="9">
        <v>14.4880918</v>
      </c>
    </row>
    <row r="44">
      <c r="A44" s="42" t="s">
        <v>835</v>
      </c>
      <c r="B44" s="26" t="s">
        <v>61</v>
      </c>
      <c r="C44" s="26" t="s">
        <v>836</v>
      </c>
      <c r="D44" s="43" t="s">
        <v>571</v>
      </c>
      <c r="E44" s="26" t="s">
        <v>837</v>
      </c>
      <c r="F44" s="26" t="s">
        <v>839</v>
      </c>
      <c r="G44" s="26" t="s">
        <v>838</v>
      </c>
      <c r="H44" s="29" t="str">
        <f t="shared" si="1"/>
        <v>https://www.google.com/maps/search/Chiesa%20di%20Santa%20Maria%20Assunta</v>
      </c>
      <c r="I44" s="9" t="s">
        <v>840</v>
      </c>
      <c r="J44" s="6" t="s">
        <v>2026</v>
      </c>
      <c r="K44" s="9" t="s">
        <v>841</v>
      </c>
      <c r="L44" s="9">
        <v>40.6283686</v>
      </c>
      <c r="M44" s="9">
        <v>14.4865314</v>
      </c>
    </row>
    <row r="45">
      <c r="A45" s="42" t="s">
        <v>842</v>
      </c>
      <c r="B45" s="26" t="s">
        <v>61</v>
      </c>
      <c r="C45" s="26" t="s">
        <v>656</v>
      </c>
      <c r="D45" s="43" t="s">
        <v>657</v>
      </c>
      <c r="E45" s="26" t="s">
        <v>843</v>
      </c>
      <c r="F45" s="26" t="s">
        <v>660</v>
      </c>
      <c r="G45" s="26" t="s">
        <v>844</v>
      </c>
      <c r="H45" s="29" t="str">
        <f t="shared" si="1"/>
        <v>https://www.google.com/maps/search/Via%20dei%20Mulini</v>
      </c>
      <c r="I45" s="9" t="s">
        <v>845</v>
      </c>
      <c r="J45" s="6" t="s">
        <v>2027</v>
      </c>
      <c r="K45" s="9" t="s">
        <v>846</v>
      </c>
      <c r="L45" s="9">
        <v>40.6290779</v>
      </c>
      <c r="M45" s="9">
        <v>14.4866109</v>
      </c>
    </row>
    <row r="46">
      <c r="A46" s="42" t="s">
        <v>847</v>
      </c>
      <c r="B46" s="26" t="s">
        <v>61</v>
      </c>
      <c r="C46" s="26" t="s">
        <v>440</v>
      </c>
      <c r="D46" s="43" t="s">
        <v>785</v>
      </c>
      <c r="E46" s="26" t="s">
        <v>848</v>
      </c>
      <c r="F46" s="26" t="s">
        <v>850</v>
      </c>
      <c r="G46" s="26" t="s">
        <v>849</v>
      </c>
      <c r="H46" s="29" t="str">
        <f t="shared" si="1"/>
        <v>https://www.google.com/maps/search/La%20Scogliera%20Beach%20Club</v>
      </c>
      <c r="I46" s="9" t="s">
        <v>851</v>
      </c>
      <c r="J46" s="6" t="s">
        <v>2028</v>
      </c>
      <c r="K46" s="9" t="s">
        <v>834</v>
      </c>
      <c r="L46" s="9">
        <v>40.6278423</v>
      </c>
      <c r="M46" s="9">
        <v>14.4880918</v>
      </c>
    </row>
    <row r="47">
      <c r="A47" s="42" t="s">
        <v>852</v>
      </c>
      <c r="B47" s="26" t="s">
        <v>61</v>
      </c>
      <c r="C47" s="26" t="s">
        <v>440</v>
      </c>
      <c r="D47" s="43" t="s">
        <v>785</v>
      </c>
      <c r="E47" s="26" t="s">
        <v>853</v>
      </c>
      <c r="F47" s="26" t="s">
        <v>582</v>
      </c>
      <c r="G47" s="26" t="s">
        <v>854</v>
      </c>
      <c r="H47" s="29" t="str">
        <f t="shared" si="1"/>
        <v>https://www.google.com/maps/search/Da%20Ferdinando%20Beach%20Club</v>
      </c>
      <c r="I47" s="9" t="s">
        <v>855</v>
      </c>
      <c r="J47" s="6" t="s">
        <v>2029</v>
      </c>
      <c r="K47" s="9" t="s">
        <v>856</v>
      </c>
      <c r="L47" s="9">
        <v>40.6263545</v>
      </c>
      <c r="M47" s="9">
        <v>14.4822477</v>
      </c>
    </row>
    <row r="48">
      <c r="A48" s="42" t="s">
        <v>857</v>
      </c>
      <c r="B48" s="26" t="s">
        <v>266</v>
      </c>
      <c r="C48" s="26" t="s">
        <v>858</v>
      </c>
      <c r="D48" s="43" t="s">
        <v>719</v>
      </c>
      <c r="E48" s="26" t="s">
        <v>859</v>
      </c>
      <c r="F48" s="26" t="s">
        <v>660</v>
      </c>
      <c r="G48" s="26" t="s">
        <v>860</v>
      </c>
      <c r="H48" s="29" t="str">
        <f t="shared" si="1"/>
        <v>https://www.google.com/maps/search/Villa%20Rufolo</v>
      </c>
      <c r="I48" s="9" t="s">
        <v>861</v>
      </c>
      <c r="J48" s="6" t="s">
        <v>2030</v>
      </c>
      <c r="K48" s="9" t="s">
        <v>862</v>
      </c>
      <c r="L48" s="9">
        <v>40.6490843</v>
      </c>
      <c r="M48" s="9">
        <v>14.6113693</v>
      </c>
    </row>
    <row r="49">
      <c r="A49" s="42" t="s">
        <v>863</v>
      </c>
      <c r="B49" s="26" t="s">
        <v>266</v>
      </c>
      <c r="C49" s="26" t="s">
        <v>858</v>
      </c>
      <c r="D49" s="43" t="s">
        <v>719</v>
      </c>
      <c r="E49" s="26" t="s">
        <v>864</v>
      </c>
      <c r="F49" s="26" t="s">
        <v>866</v>
      </c>
      <c r="G49" s="26" t="s">
        <v>865</v>
      </c>
      <c r="H49" s="29" t="str">
        <f t="shared" si="1"/>
        <v>https://www.google.com/maps/search/Villa%20Cimbrone</v>
      </c>
      <c r="I49" s="9" t="s">
        <v>868</v>
      </c>
      <c r="J49" s="6" t="s">
        <v>2031</v>
      </c>
      <c r="K49" s="9" t="s">
        <v>869</v>
      </c>
      <c r="L49" s="9">
        <v>40.644269</v>
      </c>
      <c r="M49" s="9">
        <v>14.611034</v>
      </c>
    </row>
    <row r="50">
      <c r="A50" s="42" t="s">
        <v>870</v>
      </c>
      <c r="B50" s="26" t="s">
        <v>266</v>
      </c>
      <c r="C50" s="26" t="s">
        <v>570</v>
      </c>
      <c r="D50" s="43" t="s">
        <v>571</v>
      </c>
      <c r="E50" s="26" t="s">
        <v>871</v>
      </c>
      <c r="F50" s="26" t="s">
        <v>873</v>
      </c>
      <c r="G50" s="26" t="s">
        <v>872</v>
      </c>
      <c r="H50" s="29" t="str">
        <f t="shared" si="1"/>
        <v>https://www.google.com/maps/search/Duomo%20di%20Ravello</v>
      </c>
      <c r="I50" s="9" t="s">
        <v>874</v>
      </c>
      <c r="J50" s="6" t="s">
        <v>2032</v>
      </c>
      <c r="K50" s="9" t="s">
        <v>476</v>
      </c>
      <c r="L50" s="9">
        <v>40.6491825</v>
      </c>
      <c r="M50" s="9">
        <v>14.6116481</v>
      </c>
    </row>
    <row r="51">
      <c r="A51" s="42" t="s">
        <v>875</v>
      </c>
      <c r="B51" s="26" t="s">
        <v>373</v>
      </c>
      <c r="C51" s="26" t="s">
        <v>876</v>
      </c>
      <c r="D51" s="43" t="s">
        <v>727</v>
      </c>
      <c r="E51" s="26" t="s">
        <v>877</v>
      </c>
      <c r="F51" s="26" t="s">
        <v>879</v>
      </c>
      <c r="G51" s="26" t="s">
        <v>878</v>
      </c>
      <c r="H51" s="29" t="str">
        <f t="shared" si="1"/>
        <v>https://www.google.com/maps/search/Path%20of%20the%20Gods%20%28Sentiero%20degli%20Dei%29</v>
      </c>
      <c r="I51" s="9" t="s">
        <v>818</v>
      </c>
      <c r="J51" s="6" t="s">
        <v>2033</v>
      </c>
      <c r="K51" s="9" t="s">
        <v>819</v>
      </c>
      <c r="L51" s="9">
        <v>40.6338303</v>
      </c>
      <c r="M51" s="9">
        <v>14.6027661</v>
      </c>
    </row>
    <row r="52">
      <c r="A52" s="42" t="s">
        <v>881</v>
      </c>
      <c r="B52" s="26" t="s">
        <v>266</v>
      </c>
      <c r="C52" s="26" t="s">
        <v>882</v>
      </c>
      <c r="D52" s="43" t="s">
        <v>649</v>
      </c>
      <c r="E52" s="26" t="s">
        <v>883</v>
      </c>
      <c r="F52" s="26" t="s">
        <v>689</v>
      </c>
      <c r="G52" s="26" t="s">
        <v>884</v>
      </c>
      <c r="H52" s="29" t="str">
        <f t="shared" si="1"/>
        <v>https://www.google.com/maps/search/Belmond%20Villa%20Margherita</v>
      </c>
      <c r="I52" s="9" t="s">
        <v>885</v>
      </c>
      <c r="J52" s="6" t="s">
        <v>2034</v>
      </c>
      <c r="K52" s="9" t="s">
        <v>886</v>
      </c>
      <c r="L52" s="9">
        <v>40.651503</v>
      </c>
      <c r="M52" s="9">
        <v>14.6129517</v>
      </c>
    </row>
    <row r="53">
      <c r="A53" s="42" t="s">
        <v>887</v>
      </c>
      <c r="B53" s="26" t="s">
        <v>373</v>
      </c>
      <c r="C53" s="26" t="s">
        <v>888</v>
      </c>
      <c r="D53" s="43" t="s">
        <v>889</v>
      </c>
      <c r="E53" s="26" t="s">
        <v>890</v>
      </c>
      <c r="F53" s="26" t="s">
        <v>892</v>
      </c>
      <c r="G53" s="26" t="s">
        <v>891</v>
      </c>
      <c r="H53" s="29" t="str">
        <f t="shared" si="1"/>
        <v>https://www.google.com/maps/search/Li%20Galli%20Islands</v>
      </c>
      <c r="I53" s="9" t="s">
        <v>818</v>
      </c>
      <c r="J53" s="6" t="s">
        <v>2035</v>
      </c>
      <c r="K53" s="9" t="s">
        <v>893</v>
      </c>
      <c r="L53" s="9">
        <v>40.5828024</v>
      </c>
      <c r="M53" s="9">
        <v>14.4341215</v>
      </c>
    </row>
    <row r="54">
      <c r="A54" s="44" t="s">
        <v>894</v>
      </c>
      <c r="B54" s="26" t="s">
        <v>373</v>
      </c>
      <c r="C54" s="26" t="s">
        <v>744</v>
      </c>
      <c r="D54" s="43" t="s">
        <v>737</v>
      </c>
      <c r="E54" s="26" t="s">
        <v>895</v>
      </c>
      <c r="F54" s="26" t="s">
        <v>892</v>
      </c>
      <c r="G54" s="26" t="s">
        <v>896</v>
      </c>
      <c r="H54" s="29" t="str">
        <f t="shared" si="1"/>
        <v>https://www.google.com/maps/search/Furore%20Fjord</v>
      </c>
      <c r="I54" s="9" t="s">
        <v>818</v>
      </c>
      <c r="J54" s="6" t="s">
        <v>2036</v>
      </c>
      <c r="K54" s="9" t="s">
        <v>897</v>
      </c>
      <c r="L54" s="9">
        <v>40.6185726</v>
      </c>
      <c r="M54" s="9">
        <v>14.5509614</v>
      </c>
    </row>
    <row r="55">
      <c r="A55" s="42" t="s">
        <v>335</v>
      </c>
      <c r="B55" s="26" t="s">
        <v>373</v>
      </c>
      <c r="C55" s="26" t="s">
        <v>898</v>
      </c>
      <c r="D55" s="43" t="s">
        <v>899</v>
      </c>
      <c r="E55" s="26" t="s">
        <v>900</v>
      </c>
      <c r="F55" s="26" t="s">
        <v>566</v>
      </c>
      <c r="G55" s="26" t="s">
        <v>901</v>
      </c>
      <c r="H55" s="29" t="str">
        <f t="shared" si="1"/>
        <v>https://www.google.com/maps/search/Conca%20dei%20Marini</v>
      </c>
      <c r="I55" s="9" t="s">
        <v>818</v>
      </c>
      <c r="J55" s="6" t="s">
        <v>2037</v>
      </c>
      <c r="K55" s="9" t="s">
        <v>504</v>
      </c>
      <c r="L55" s="9">
        <v>40.6163236</v>
      </c>
      <c r="M55" s="9">
        <v>14.5753912</v>
      </c>
    </row>
    <row r="56">
      <c r="A56" s="42" t="s">
        <v>902</v>
      </c>
      <c r="B56" s="26" t="s">
        <v>373</v>
      </c>
      <c r="C56" s="26" t="s">
        <v>736</v>
      </c>
      <c r="D56" s="43" t="s">
        <v>737</v>
      </c>
      <c r="E56" s="26" t="s">
        <v>903</v>
      </c>
      <c r="F56" s="26" t="s">
        <v>740</v>
      </c>
      <c r="G56" s="26" t="s">
        <v>904</v>
      </c>
      <c r="H56" s="29" t="str">
        <f t="shared" si="1"/>
        <v>https://www.google.com/maps/search/Emerald%20Grotto</v>
      </c>
      <c r="I56" s="9" t="s">
        <v>818</v>
      </c>
      <c r="J56" s="6" t="s">
        <v>2038</v>
      </c>
      <c r="K56" s="9" t="s">
        <v>905</v>
      </c>
      <c r="L56" s="9">
        <v>40.6150824</v>
      </c>
      <c r="M56" s="9">
        <v>14.5670273</v>
      </c>
    </row>
    <row r="57">
      <c r="A57" s="42" t="s">
        <v>906</v>
      </c>
      <c r="B57" s="26" t="s">
        <v>365</v>
      </c>
      <c r="C57" s="26" t="s">
        <v>907</v>
      </c>
      <c r="D57" s="43" t="s">
        <v>470</v>
      </c>
      <c r="E57" s="26" t="s">
        <v>908</v>
      </c>
      <c r="F57" s="26" t="s">
        <v>566</v>
      </c>
      <c r="G57" s="26" t="s">
        <v>909</v>
      </c>
      <c r="H57" s="29" t="str">
        <f t="shared" si="1"/>
        <v>https://www.google.com/maps/search/Amalfi%20Town%20Historic%20Center</v>
      </c>
      <c r="I57" s="9" t="s">
        <v>818</v>
      </c>
      <c r="J57" s="6" t="s">
        <v>2039</v>
      </c>
      <c r="K57" s="9" t="s">
        <v>819</v>
      </c>
      <c r="L57" s="9">
        <v>40.6338303</v>
      </c>
      <c r="M57" s="9">
        <v>14.6027661</v>
      </c>
    </row>
    <row r="58">
      <c r="A58" s="42" t="s">
        <v>910</v>
      </c>
      <c r="B58" s="26" t="s">
        <v>365</v>
      </c>
      <c r="C58" s="26" t="s">
        <v>586</v>
      </c>
      <c r="D58" s="43" t="s">
        <v>571</v>
      </c>
      <c r="E58" s="26" t="s">
        <v>911</v>
      </c>
      <c r="F58" s="26" t="s">
        <v>566</v>
      </c>
      <c r="G58" s="26" t="s">
        <v>912</v>
      </c>
      <c r="H58" s="29" t="str">
        <f t="shared" si="1"/>
        <v>https://www.google.com/maps/search/Piazza%20del%20Duomo</v>
      </c>
      <c r="I58" s="9" t="s">
        <v>913</v>
      </c>
      <c r="J58" s="6" t="s">
        <v>2040</v>
      </c>
      <c r="K58" s="9" t="s">
        <v>914</v>
      </c>
      <c r="L58" s="9">
        <v>40.6342211</v>
      </c>
      <c r="M58" s="9">
        <v>14.6026726</v>
      </c>
    </row>
    <row r="59">
      <c r="A59" s="42" t="s">
        <v>915</v>
      </c>
      <c r="B59" s="26" t="s">
        <v>61</v>
      </c>
      <c r="C59" s="26" t="s">
        <v>916</v>
      </c>
      <c r="D59" s="43" t="s">
        <v>785</v>
      </c>
      <c r="E59" s="26" t="s">
        <v>917</v>
      </c>
      <c r="F59" s="26" t="s">
        <v>832</v>
      </c>
      <c r="G59" s="26" t="s">
        <v>918</v>
      </c>
      <c r="H59" s="29" t="str">
        <f t="shared" si="1"/>
        <v>https://www.google.com/maps/search/Fornillo%20Beach</v>
      </c>
      <c r="I59" s="9" t="s">
        <v>919</v>
      </c>
      <c r="J59" s="6" t="s">
        <v>2041</v>
      </c>
      <c r="K59" s="9" t="s">
        <v>856</v>
      </c>
      <c r="L59" s="9">
        <v>40.6263545</v>
      </c>
      <c r="M59" s="9">
        <v>14.4822477</v>
      </c>
    </row>
    <row r="60">
      <c r="A60" s="42" t="s">
        <v>920</v>
      </c>
      <c r="B60" s="26" t="s">
        <v>79</v>
      </c>
      <c r="C60" s="26" t="s">
        <v>921</v>
      </c>
      <c r="D60" s="43" t="s">
        <v>922</v>
      </c>
      <c r="E60" s="26" t="s">
        <v>923</v>
      </c>
      <c r="F60" s="26" t="s">
        <v>660</v>
      </c>
      <c r="G60" s="26" t="s">
        <v>924</v>
      </c>
      <c r="H60" s="29" t="str">
        <f t="shared" si="1"/>
        <v>https://www.google.com/maps/search/Anacapri%20Town%20Center</v>
      </c>
      <c r="I60" s="9" t="s">
        <v>925</v>
      </c>
      <c r="J60" s="6" t="s">
        <v>2042</v>
      </c>
      <c r="K60" s="9" t="s">
        <v>926</v>
      </c>
      <c r="L60" s="9">
        <v>40.5520861</v>
      </c>
      <c r="M60" s="9">
        <v>14.2177508</v>
      </c>
    </row>
    <row r="61">
      <c r="A61" s="42" t="s">
        <v>927</v>
      </c>
      <c r="B61" s="26" t="s">
        <v>243</v>
      </c>
      <c r="C61" s="26" t="s">
        <v>921</v>
      </c>
      <c r="D61" s="43" t="s">
        <v>922</v>
      </c>
      <c r="E61" s="26" t="s">
        <v>928</v>
      </c>
      <c r="F61" s="26" t="s">
        <v>850</v>
      </c>
      <c r="G61" s="26" t="s">
        <v>929</v>
      </c>
      <c r="H61" s="29" t="str">
        <f t="shared" si="1"/>
        <v>https://www.google.com/maps/search/Capri%20Town%20Center</v>
      </c>
      <c r="I61" s="9" t="s">
        <v>275</v>
      </c>
      <c r="J61" s="6" t="s">
        <v>2043</v>
      </c>
      <c r="K61" s="9" t="s">
        <v>286</v>
      </c>
      <c r="L61" s="9">
        <v>40.5507259</v>
      </c>
      <c r="M61" s="9">
        <v>14.2429</v>
      </c>
    </row>
    <row r="62">
      <c r="A62" s="42" t="s">
        <v>930</v>
      </c>
      <c r="B62" s="26" t="s">
        <v>61</v>
      </c>
      <c r="C62" s="26" t="s">
        <v>921</v>
      </c>
      <c r="D62" s="43" t="s">
        <v>922</v>
      </c>
      <c r="E62" s="26" t="s">
        <v>931</v>
      </c>
      <c r="F62" s="26" t="s">
        <v>566</v>
      </c>
      <c r="G62" s="26" t="s">
        <v>932</v>
      </c>
      <c r="H62" s="29" t="str">
        <f t="shared" si="1"/>
        <v>https://www.google.com/maps/search/Positano%20Vertical%20Town</v>
      </c>
      <c r="I62" s="9" t="s">
        <v>933</v>
      </c>
      <c r="J62" s="6" t="s">
        <v>2044</v>
      </c>
      <c r="K62" s="9" t="s">
        <v>934</v>
      </c>
      <c r="L62" s="9">
        <v>40.6294824</v>
      </c>
      <c r="M62" s="9">
        <v>14.4823462</v>
      </c>
    </row>
    <row r="63">
      <c r="A63" s="42" t="s">
        <v>935</v>
      </c>
      <c r="B63" s="26" t="s">
        <v>266</v>
      </c>
      <c r="C63" s="26" t="s">
        <v>921</v>
      </c>
      <c r="D63" s="43" t="s">
        <v>936</v>
      </c>
      <c r="E63" s="26" t="s">
        <v>937</v>
      </c>
      <c r="F63" s="26" t="s">
        <v>566</v>
      </c>
      <c r="G63" s="26" t="s">
        <v>938</v>
      </c>
      <c r="H63" s="29" t="str">
        <f t="shared" si="1"/>
        <v>https://www.google.com/maps/search/Ravello%20Mountain%20Town</v>
      </c>
      <c r="I63" s="9" t="s">
        <v>939</v>
      </c>
      <c r="J63" s="6" t="s">
        <v>2045</v>
      </c>
      <c r="K63" s="9" t="s">
        <v>484</v>
      </c>
      <c r="L63" s="9">
        <v>40.6515802</v>
      </c>
      <c r="M63" s="9">
        <v>14.6140606</v>
      </c>
    </row>
    <row r="64">
      <c r="A64" s="42" t="s">
        <v>940</v>
      </c>
      <c r="B64" s="26" t="s">
        <v>243</v>
      </c>
      <c r="C64" s="26" t="s">
        <v>941</v>
      </c>
      <c r="D64" s="43" t="s">
        <v>771</v>
      </c>
      <c r="E64" s="26" t="s">
        <v>942</v>
      </c>
      <c r="F64" s="26" t="s">
        <v>944</v>
      </c>
      <c r="G64" s="26" t="s">
        <v>943</v>
      </c>
      <c r="H64" s="29" t="str">
        <f t="shared" si="1"/>
        <v>https://www.google.com/maps/search/Marina%20Grande%20Funicular</v>
      </c>
      <c r="I64" s="9" t="s">
        <v>945</v>
      </c>
      <c r="J64" s="6" t="s">
        <v>2046</v>
      </c>
      <c r="K64" s="9" t="s">
        <v>946</v>
      </c>
      <c r="L64" s="9">
        <v>40.5560455</v>
      </c>
      <c r="M64" s="9">
        <v>14.2389676</v>
      </c>
    </row>
    <row r="65">
      <c r="A65" s="42" t="s">
        <v>947</v>
      </c>
      <c r="B65" s="26" t="s">
        <v>255</v>
      </c>
      <c r="C65" s="26" t="s">
        <v>948</v>
      </c>
      <c r="D65" s="43" t="s">
        <v>521</v>
      </c>
      <c r="E65" s="26" t="s">
        <v>949</v>
      </c>
      <c r="F65" s="26" t="s">
        <v>614</v>
      </c>
      <c r="G65" s="26" t="s">
        <v>950</v>
      </c>
      <c r="H65" s="29" t="str">
        <f t="shared" si="1"/>
        <v>https://www.google.com/maps/search/Osteria%20della%20Mattonella</v>
      </c>
      <c r="I65" s="9" t="s">
        <v>952</v>
      </c>
      <c r="J65" s="6" t="s">
        <v>2047</v>
      </c>
      <c r="K65" s="9" t="s">
        <v>953</v>
      </c>
      <c r="L65" s="9">
        <v>40.836603</v>
      </c>
      <c r="M65" s="9">
        <v>14.2440567</v>
      </c>
    </row>
    <row r="66">
      <c r="A66" s="42" t="s">
        <v>954</v>
      </c>
      <c r="B66" s="26" t="s">
        <v>61</v>
      </c>
      <c r="C66" s="26" t="s">
        <v>440</v>
      </c>
      <c r="D66" s="43" t="s">
        <v>785</v>
      </c>
      <c r="E66" s="26" t="s">
        <v>955</v>
      </c>
      <c r="F66" s="26" t="s">
        <v>582</v>
      </c>
      <c r="G66" s="26" t="s">
        <v>956</v>
      </c>
      <c r="H66" s="29" t="str">
        <f t="shared" si="1"/>
        <v>https://www.google.com/maps/search/Laurito%20Beach%20Club</v>
      </c>
      <c r="I66" s="9" t="s">
        <v>957</v>
      </c>
      <c r="J66" s="6" t="s">
        <v>2048</v>
      </c>
      <c r="K66" s="9" t="s">
        <v>958</v>
      </c>
      <c r="L66" s="9">
        <v>40.6225647</v>
      </c>
      <c r="M66" s="9">
        <v>14.507127</v>
      </c>
    </row>
    <row r="67">
      <c r="A67" s="42" t="s">
        <v>959</v>
      </c>
      <c r="B67" s="26" t="s">
        <v>243</v>
      </c>
      <c r="C67" s="26" t="s">
        <v>440</v>
      </c>
      <c r="D67" s="43" t="s">
        <v>785</v>
      </c>
      <c r="E67" s="26" t="s">
        <v>960</v>
      </c>
      <c r="F67" s="26" t="s">
        <v>582</v>
      </c>
      <c r="G67" s="26" t="s">
        <v>961</v>
      </c>
      <c r="H67" s="29" t="str">
        <f t="shared" si="1"/>
        <v>https://www.google.com/maps/search/Da%20Gioia%20Beach%20Club</v>
      </c>
      <c r="I67" s="9" t="s">
        <v>962</v>
      </c>
      <c r="J67" s="6" t="s">
        <v>2049</v>
      </c>
      <c r="K67" s="9" t="s">
        <v>963</v>
      </c>
      <c r="L67" s="9">
        <v>40.5453166</v>
      </c>
      <c r="M67" s="9">
        <v>14.2340931</v>
      </c>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 r:id="rId62" ref="J63"/>
    <hyperlink r:id="rId63" ref="J64"/>
    <hyperlink r:id="rId64" ref="J65"/>
    <hyperlink r:id="rId65" ref="J66"/>
    <hyperlink r:id="rId66" ref="J67"/>
  </hyperlinks>
  <drawing r:id="rId6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s>
  <sheetData>
    <row r="1">
      <c r="A1" s="41" t="s">
        <v>200</v>
      </c>
      <c r="B1" s="23" t="s">
        <v>202</v>
      </c>
      <c r="C1" s="23" t="s">
        <v>203</v>
      </c>
      <c r="D1" s="23" t="s">
        <v>204</v>
      </c>
      <c r="E1" s="23" t="s">
        <v>1982</v>
      </c>
      <c r="F1" s="23" t="s">
        <v>208</v>
      </c>
      <c r="G1" s="23" t="s">
        <v>206</v>
      </c>
      <c r="H1" s="3" t="s">
        <v>212</v>
      </c>
      <c r="I1" s="23" t="s">
        <v>205</v>
      </c>
      <c r="J1" s="23" t="s">
        <v>213</v>
      </c>
      <c r="K1" s="23" t="s">
        <v>209</v>
      </c>
      <c r="L1" s="23" t="s">
        <v>210</v>
      </c>
      <c r="M1" s="23" t="s">
        <v>211</v>
      </c>
    </row>
    <row r="2">
      <c r="A2" s="45" t="s">
        <v>964</v>
      </c>
      <c r="B2" s="45" t="s">
        <v>440</v>
      </c>
      <c r="C2" s="45" t="s">
        <v>785</v>
      </c>
      <c r="D2" s="45" t="s">
        <v>965</v>
      </c>
      <c r="E2" s="45" t="s">
        <v>243</v>
      </c>
      <c r="F2" s="45" t="s">
        <v>968</v>
      </c>
      <c r="H2" s="29" t="str">
        <f t="shared" ref="H2:H11" si="1">HYPERLINK("https://www.google.com/maps/search/"&amp;ENCODEURL(A2&amp;", "&amp;E2))</f>
        <v>https://www.google.com/maps/search/Da%20Luigi%27s%2C%20Capri</v>
      </c>
      <c r="J2" s="6" t="s">
        <v>2050</v>
      </c>
      <c r="K2" s="9" t="s">
        <v>969</v>
      </c>
      <c r="L2" s="9">
        <v>40.543128</v>
      </c>
      <c r="M2" s="9">
        <v>14.2525968</v>
      </c>
    </row>
    <row r="3">
      <c r="A3" s="45" t="s">
        <v>972</v>
      </c>
      <c r="B3" s="45" t="s">
        <v>440</v>
      </c>
      <c r="C3" s="45" t="s">
        <v>785</v>
      </c>
      <c r="D3" s="45" t="s">
        <v>973</v>
      </c>
      <c r="E3" s="45" t="s">
        <v>61</v>
      </c>
      <c r="F3" s="45" t="s">
        <v>975</v>
      </c>
      <c r="H3" s="29" t="str">
        <f t="shared" si="1"/>
        <v>https://www.google.com/maps/search/Arienzo%20Beach%20Club%2C%20Positano</v>
      </c>
      <c r="J3" s="6" t="s">
        <v>2051</v>
      </c>
      <c r="K3" s="9" t="s">
        <v>976</v>
      </c>
      <c r="L3" s="9">
        <v>40.6247046</v>
      </c>
      <c r="M3" s="9">
        <v>14.500676</v>
      </c>
    </row>
    <row r="4">
      <c r="A4" s="46" t="s">
        <v>169</v>
      </c>
      <c r="B4" s="45" t="s">
        <v>977</v>
      </c>
      <c r="C4" s="45" t="s">
        <v>785</v>
      </c>
      <c r="D4" s="45" t="s">
        <v>978</v>
      </c>
      <c r="E4" s="45" t="s">
        <v>50</v>
      </c>
      <c r="F4" s="45" t="s">
        <v>979</v>
      </c>
      <c r="H4" s="29" t="str">
        <f t="shared" si="1"/>
        <v>https://www.google.com/maps/search/Marina%20di%20Praia%2C%20Praiano</v>
      </c>
      <c r="J4" s="6" t="s">
        <v>2052</v>
      </c>
      <c r="K4" s="9" t="s">
        <v>510</v>
      </c>
      <c r="L4" s="9">
        <v>40.6134729</v>
      </c>
      <c r="M4" s="9">
        <v>14.5394424</v>
      </c>
    </row>
    <row r="5">
      <c r="A5" s="45" t="s">
        <v>165</v>
      </c>
      <c r="B5" s="45" t="s">
        <v>980</v>
      </c>
      <c r="C5" s="45" t="s">
        <v>785</v>
      </c>
      <c r="D5" s="45" t="s">
        <v>981</v>
      </c>
      <c r="E5" s="45" t="s">
        <v>381</v>
      </c>
      <c r="F5" s="9" t="s">
        <v>982</v>
      </c>
      <c r="G5" s="45"/>
      <c r="H5" s="29" t="str">
        <f t="shared" si="1"/>
        <v>https://www.google.com/maps/search/Fiordo%20di%20Furore%2C%20Furore</v>
      </c>
      <c r="J5" s="6" t="s">
        <v>2053</v>
      </c>
      <c r="K5" s="9" t="s">
        <v>983</v>
      </c>
      <c r="L5" s="9">
        <v>40.6141604</v>
      </c>
      <c r="M5" s="9">
        <v>14.5421669</v>
      </c>
    </row>
    <row r="6">
      <c r="A6" s="45" t="s">
        <v>875</v>
      </c>
      <c r="B6" s="45" t="s">
        <v>876</v>
      </c>
      <c r="C6" s="45" t="s">
        <v>985</v>
      </c>
      <c r="D6" s="45" t="s">
        <v>986</v>
      </c>
      <c r="E6" s="45" t="s">
        <v>388</v>
      </c>
      <c r="F6" s="9" t="s">
        <v>988</v>
      </c>
      <c r="G6" s="45" t="s">
        <v>987</v>
      </c>
      <c r="H6" s="29" t="str">
        <f t="shared" si="1"/>
        <v>https://www.google.com/maps/search/Path%20of%20the%20Gods%20%28Sentiero%20degli%20Dei%29%2C%20Bomerano%20%28start%29%20to%20Nocelle%20%28end%29</v>
      </c>
      <c r="J6" s="6" t="s">
        <v>2054</v>
      </c>
      <c r="K6" s="9" t="s">
        <v>989</v>
      </c>
      <c r="L6" s="9">
        <v>40.6216598</v>
      </c>
      <c r="M6" s="9">
        <v>14.5208185</v>
      </c>
    </row>
    <row r="7">
      <c r="A7" s="45" t="s">
        <v>857</v>
      </c>
      <c r="B7" s="45" t="s">
        <v>990</v>
      </c>
      <c r="C7" s="45" t="s">
        <v>470</v>
      </c>
      <c r="D7" s="45" t="s">
        <v>991</v>
      </c>
      <c r="E7" s="45" t="s">
        <v>266</v>
      </c>
      <c r="F7" s="9" t="s">
        <v>861</v>
      </c>
      <c r="G7" s="45"/>
      <c r="H7" s="29" t="str">
        <f t="shared" si="1"/>
        <v>https://www.google.com/maps/search/Villa%20Rufolo%2C%20Ravello</v>
      </c>
      <c r="J7" s="6" t="s">
        <v>2055</v>
      </c>
      <c r="K7" s="9" t="s">
        <v>862</v>
      </c>
      <c r="L7" s="9">
        <v>40.6490843</v>
      </c>
      <c r="M7" s="9">
        <v>14.6113693</v>
      </c>
    </row>
    <row r="8">
      <c r="A8" s="45" t="s">
        <v>992</v>
      </c>
      <c r="B8" s="45" t="s">
        <v>977</v>
      </c>
      <c r="C8" s="45" t="s">
        <v>785</v>
      </c>
      <c r="D8" s="45" t="s">
        <v>993</v>
      </c>
      <c r="E8" s="45" t="s">
        <v>50</v>
      </c>
      <c r="F8" s="9" t="s">
        <v>994</v>
      </c>
      <c r="G8" s="45"/>
      <c r="H8" s="29" t="str">
        <f t="shared" si="1"/>
        <v>https://www.google.com/maps/search/Spiaggia%20di%20Praia%2C%20Praiano</v>
      </c>
      <c r="J8" s="6" t="s">
        <v>2056</v>
      </c>
      <c r="K8" s="9" t="s">
        <v>498</v>
      </c>
      <c r="L8" s="9">
        <v>40.6117319</v>
      </c>
      <c r="M8" s="9">
        <v>14.5335099</v>
      </c>
    </row>
    <row r="9">
      <c r="A9" s="45" t="s">
        <v>995</v>
      </c>
      <c r="B9" s="45" t="s">
        <v>996</v>
      </c>
      <c r="C9" s="45" t="s">
        <v>997</v>
      </c>
      <c r="D9" s="45" t="s">
        <v>998</v>
      </c>
      <c r="E9" s="45" t="s">
        <v>243</v>
      </c>
      <c r="F9" s="9" t="s">
        <v>1000</v>
      </c>
      <c r="G9" s="45" t="s">
        <v>999</v>
      </c>
      <c r="H9" s="29" t="str">
        <f t="shared" si="1"/>
        <v>https://www.google.com/maps/search/Faraglioni%2C%20Capri</v>
      </c>
      <c r="J9" s="6" t="s">
        <v>2057</v>
      </c>
      <c r="K9" s="9" t="s">
        <v>1001</v>
      </c>
      <c r="L9" s="9">
        <v>40.540163</v>
      </c>
      <c r="M9" s="9">
        <v>14.2528574</v>
      </c>
    </row>
    <row r="10">
      <c r="A10" s="45" t="s">
        <v>1002</v>
      </c>
      <c r="B10" s="45" t="s">
        <v>1003</v>
      </c>
      <c r="C10" s="45" t="s">
        <v>737</v>
      </c>
      <c r="D10" s="45" t="s">
        <v>1004</v>
      </c>
      <c r="E10" s="45" t="s">
        <v>243</v>
      </c>
      <c r="F10" s="9" t="s">
        <v>1005</v>
      </c>
      <c r="G10" s="45" t="s">
        <v>999</v>
      </c>
      <c r="H10" s="29" t="str">
        <f t="shared" si="1"/>
        <v>https://www.google.com/maps/search/Grotta%20Bianca%2C%20Capri</v>
      </c>
      <c r="J10" s="6" t="s">
        <v>2058</v>
      </c>
      <c r="K10" s="9" t="s">
        <v>1006</v>
      </c>
      <c r="L10" s="9">
        <v>40.551155</v>
      </c>
      <c r="M10" s="9">
        <v>14.2479425</v>
      </c>
    </row>
    <row r="11">
      <c r="A11" s="45" t="s">
        <v>1007</v>
      </c>
      <c r="B11" s="45" t="s">
        <v>1008</v>
      </c>
      <c r="C11" s="45" t="s">
        <v>1009</v>
      </c>
      <c r="D11" s="45" t="s">
        <v>1010</v>
      </c>
      <c r="E11" s="45" t="s">
        <v>79</v>
      </c>
      <c r="F11" s="9" t="s">
        <v>1011</v>
      </c>
      <c r="G11" s="45"/>
      <c r="H11" s="29" t="str">
        <f t="shared" si="1"/>
        <v>https://www.google.com/maps/search/Monte%20Solaro%2C%20Anacapri</v>
      </c>
      <c r="J11" s="6" t="s">
        <v>2059</v>
      </c>
      <c r="K11" s="9" t="s">
        <v>1012</v>
      </c>
      <c r="L11" s="9">
        <v>40.5449719</v>
      </c>
      <c r="M11" s="9">
        <v>14.2229833</v>
      </c>
    </row>
  </sheetData>
  <hyperlinks>
    <hyperlink r:id="rId1" ref="J2"/>
    <hyperlink r:id="rId2" ref="J3"/>
    <hyperlink r:id="rId3" ref="J4"/>
    <hyperlink r:id="rId4" ref="J5"/>
    <hyperlink r:id="rId5" ref="J6"/>
    <hyperlink r:id="rId6" ref="J7"/>
    <hyperlink r:id="rId7" ref="J8"/>
    <hyperlink r:id="rId8" ref="J9"/>
    <hyperlink r:id="rId9" ref="J10"/>
    <hyperlink r:id="rId10" ref="J11"/>
  </hyperlinks>
  <drawing r:id="rId1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200</v>
      </c>
      <c r="B1" s="20" t="s">
        <v>201</v>
      </c>
      <c r="C1" s="20" t="s">
        <v>202</v>
      </c>
      <c r="D1" s="20" t="s">
        <v>203</v>
      </c>
      <c r="E1" s="20" t="s">
        <v>204</v>
      </c>
      <c r="F1" s="20" t="s">
        <v>205</v>
      </c>
      <c r="G1" s="20" t="s">
        <v>206</v>
      </c>
      <c r="H1" s="20" t="s">
        <v>2060</v>
      </c>
      <c r="I1" s="20" t="s">
        <v>208</v>
      </c>
      <c r="J1" s="20" t="s">
        <v>210</v>
      </c>
      <c r="K1" s="20" t="s">
        <v>211</v>
      </c>
      <c r="L1" s="47"/>
      <c r="M1" s="47"/>
    </row>
    <row r="2">
      <c r="A2" s="35" t="s">
        <v>1013</v>
      </c>
      <c r="B2" s="26" t="s">
        <v>197</v>
      </c>
      <c r="C2" s="26" t="s">
        <v>133</v>
      </c>
      <c r="D2" s="43" t="s">
        <v>390</v>
      </c>
      <c r="E2" s="26" t="s">
        <v>1014</v>
      </c>
      <c r="F2" s="26" t="s">
        <v>1015</v>
      </c>
      <c r="G2" s="26" t="s">
        <v>1016</v>
      </c>
      <c r="H2" s="26" t="s">
        <v>1017</v>
      </c>
      <c r="I2" s="26" t="s">
        <v>2061</v>
      </c>
      <c r="J2" s="26">
        <v>40.837</v>
      </c>
      <c r="K2" s="26">
        <v>14.2468</v>
      </c>
      <c r="L2" s="48"/>
      <c r="M2" s="48"/>
    </row>
    <row r="3">
      <c r="A3" s="35" t="s">
        <v>1020</v>
      </c>
      <c r="B3" s="26" t="s">
        <v>197</v>
      </c>
      <c r="C3" s="26" t="s">
        <v>133</v>
      </c>
      <c r="D3" s="43" t="s">
        <v>390</v>
      </c>
      <c r="E3" s="26" t="s">
        <v>1021</v>
      </c>
      <c r="F3" s="26" t="s">
        <v>1022</v>
      </c>
      <c r="G3" s="26" t="s">
        <v>1016</v>
      </c>
      <c r="H3" s="26" t="s">
        <v>1023</v>
      </c>
      <c r="I3" s="26" t="s">
        <v>2062</v>
      </c>
      <c r="J3" s="26">
        <v>40.8355</v>
      </c>
      <c r="K3" s="26">
        <v>14.2445</v>
      </c>
      <c r="L3" s="48"/>
      <c r="M3" s="48"/>
    </row>
    <row r="4">
      <c r="A4" s="35" t="s">
        <v>1024</v>
      </c>
      <c r="B4" s="26" t="s">
        <v>197</v>
      </c>
      <c r="C4" s="26" t="s">
        <v>133</v>
      </c>
      <c r="D4" s="43" t="s">
        <v>390</v>
      </c>
      <c r="E4" s="26" t="s">
        <v>1025</v>
      </c>
      <c r="F4" s="26" t="s">
        <v>1026</v>
      </c>
      <c r="G4" s="26" t="s">
        <v>1016</v>
      </c>
      <c r="H4" s="26" t="s">
        <v>1027</v>
      </c>
      <c r="I4" s="26" t="s">
        <v>2063</v>
      </c>
      <c r="J4" s="26">
        <v>40.838</v>
      </c>
      <c r="K4" s="26">
        <v>14.247</v>
      </c>
      <c r="L4" s="48"/>
      <c r="M4" s="48"/>
    </row>
    <row r="5">
      <c r="A5" s="35" t="s">
        <v>1028</v>
      </c>
      <c r="B5" s="26" t="s">
        <v>197</v>
      </c>
      <c r="C5" s="26" t="s">
        <v>133</v>
      </c>
      <c r="D5" s="43" t="s">
        <v>390</v>
      </c>
      <c r="E5" s="26" t="s">
        <v>1029</v>
      </c>
      <c r="F5" s="26" t="s">
        <v>1030</v>
      </c>
      <c r="G5" s="26" t="s">
        <v>1016</v>
      </c>
      <c r="H5" s="26" t="s">
        <v>1031</v>
      </c>
      <c r="I5" s="26" t="s">
        <v>2064</v>
      </c>
      <c r="J5" s="26">
        <v>40.838</v>
      </c>
      <c r="K5" s="26">
        <v>14.247</v>
      </c>
      <c r="L5" s="48"/>
      <c r="M5" s="48"/>
    </row>
    <row r="6">
      <c r="A6" s="35" t="s">
        <v>1032</v>
      </c>
      <c r="B6" s="26" t="s">
        <v>197</v>
      </c>
      <c r="C6" s="26" t="s">
        <v>133</v>
      </c>
      <c r="D6" s="43" t="s">
        <v>390</v>
      </c>
      <c r="E6" s="26" t="s">
        <v>1033</v>
      </c>
      <c r="F6" s="26" t="s">
        <v>1034</v>
      </c>
      <c r="G6" s="26" t="s">
        <v>1016</v>
      </c>
      <c r="H6" s="26" t="s">
        <v>1035</v>
      </c>
      <c r="I6" s="26" t="s">
        <v>2065</v>
      </c>
      <c r="J6" s="26">
        <v>40.8395</v>
      </c>
      <c r="K6" s="26">
        <v>14.2485</v>
      </c>
      <c r="L6" s="48"/>
      <c r="M6" s="48"/>
    </row>
    <row r="7">
      <c r="A7" s="35" t="s">
        <v>1036</v>
      </c>
      <c r="B7" s="26" t="s">
        <v>197</v>
      </c>
      <c r="C7" s="26" t="s">
        <v>302</v>
      </c>
      <c r="D7" s="43" t="s">
        <v>291</v>
      </c>
      <c r="E7" s="26" t="s">
        <v>1037</v>
      </c>
      <c r="F7" s="26" t="s">
        <v>1038</v>
      </c>
      <c r="G7" s="26" t="s">
        <v>1039</v>
      </c>
      <c r="H7" s="26" t="s">
        <v>1040</v>
      </c>
      <c r="I7" s="26" t="s">
        <v>2066</v>
      </c>
      <c r="J7" s="26">
        <v>40.832</v>
      </c>
      <c r="K7" s="26">
        <v>14.252</v>
      </c>
      <c r="L7" s="48"/>
      <c r="M7" s="48"/>
    </row>
    <row r="8">
      <c r="A8" s="49" t="s">
        <v>1041</v>
      </c>
      <c r="B8" s="26" t="s">
        <v>197</v>
      </c>
      <c r="C8" s="26" t="s">
        <v>290</v>
      </c>
      <c r="D8" s="43" t="s">
        <v>291</v>
      </c>
      <c r="E8" s="26" t="s">
        <v>1042</v>
      </c>
      <c r="F8" s="26" t="s">
        <v>1043</v>
      </c>
      <c r="G8" s="26" t="s">
        <v>1044</v>
      </c>
      <c r="H8" s="26" t="s">
        <v>1045</v>
      </c>
      <c r="I8" s="26" t="s">
        <v>2067</v>
      </c>
      <c r="J8" s="26">
        <v>40.8315</v>
      </c>
      <c r="K8" s="26">
        <v>14.2515</v>
      </c>
      <c r="L8" s="48"/>
      <c r="M8" s="48"/>
    </row>
    <row r="9">
      <c r="A9" s="35" t="s">
        <v>1046</v>
      </c>
      <c r="B9" s="26" t="s">
        <v>197</v>
      </c>
      <c r="C9" s="26" t="s">
        <v>290</v>
      </c>
      <c r="D9" s="43" t="s">
        <v>291</v>
      </c>
      <c r="E9" s="26" t="s">
        <v>1047</v>
      </c>
      <c r="F9" s="26" t="s">
        <v>1048</v>
      </c>
      <c r="G9" s="26" t="s">
        <v>1049</v>
      </c>
      <c r="H9" s="26" t="s">
        <v>1050</v>
      </c>
      <c r="I9" s="26" t="s">
        <v>2068</v>
      </c>
      <c r="J9" s="26">
        <v>40.8325</v>
      </c>
      <c r="K9" s="26">
        <v>14.2525</v>
      </c>
      <c r="L9" s="48"/>
      <c r="M9" s="48"/>
    </row>
    <row r="10">
      <c r="A10" s="35" t="s">
        <v>597</v>
      </c>
      <c r="B10" s="26" t="s">
        <v>197</v>
      </c>
      <c r="C10" s="26" t="s">
        <v>302</v>
      </c>
      <c r="D10" s="43" t="s">
        <v>291</v>
      </c>
      <c r="E10" s="26" t="s">
        <v>1051</v>
      </c>
      <c r="F10" s="26" t="s">
        <v>1052</v>
      </c>
      <c r="G10" s="26" t="s">
        <v>1053</v>
      </c>
      <c r="H10" s="26" t="s">
        <v>1054</v>
      </c>
      <c r="I10" s="26" t="s">
        <v>2069</v>
      </c>
      <c r="J10" s="26">
        <v>40.847</v>
      </c>
      <c r="K10" s="26">
        <v>14.255</v>
      </c>
      <c r="L10" s="48"/>
      <c r="M10" s="48"/>
    </row>
    <row r="11">
      <c r="A11" s="35" t="s">
        <v>1055</v>
      </c>
      <c r="B11" s="26" t="s">
        <v>197</v>
      </c>
      <c r="C11" s="26" t="s">
        <v>290</v>
      </c>
      <c r="D11" s="43" t="s">
        <v>291</v>
      </c>
      <c r="E11" s="26" t="s">
        <v>1056</v>
      </c>
      <c r="F11" s="26" t="s">
        <v>1057</v>
      </c>
      <c r="G11" s="26" t="s">
        <v>1058</v>
      </c>
      <c r="H11" s="26" t="s">
        <v>1059</v>
      </c>
      <c r="I11" s="26" t="s">
        <v>2070</v>
      </c>
      <c r="J11" s="26">
        <v>40.831</v>
      </c>
      <c r="K11" s="26">
        <v>14.251</v>
      </c>
      <c r="L11" s="48"/>
      <c r="M11" s="48"/>
    </row>
    <row r="12">
      <c r="A12" s="35" t="s">
        <v>947</v>
      </c>
      <c r="B12" s="26" t="s">
        <v>2071</v>
      </c>
      <c r="C12" s="26" t="s">
        <v>302</v>
      </c>
      <c r="D12" s="43" t="s">
        <v>521</v>
      </c>
      <c r="E12" s="26" t="s">
        <v>1060</v>
      </c>
      <c r="F12" s="26" t="s">
        <v>1061</v>
      </c>
      <c r="G12" s="26" t="s">
        <v>1058</v>
      </c>
      <c r="H12" s="26" t="s">
        <v>1062</v>
      </c>
      <c r="I12" s="26" t="s">
        <v>2072</v>
      </c>
      <c r="J12" s="26">
        <v>40.833</v>
      </c>
      <c r="K12" s="26">
        <v>14.253</v>
      </c>
      <c r="L12" s="48"/>
      <c r="M12" s="48"/>
    </row>
    <row r="13">
      <c r="A13" s="35" t="s">
        <v>1063</v>
      </c>
      <c r="B13" s="26" t="s">
        <v>197</v>
      </c>
      <c r="C13" s="26" t="s">
        <v>290</v>
      </c>
      <c r="D13" s="43" t="s">
        <v>409</v>
      </c>
      <c r="E13" s="26" t="s">
        <v>1064</v>
      </c>
      <c r="F13" s="26" t="s">
        <v>1065</v>
      </c>
      <c r="G13" s="26" t="s">
        <v>1058</v>
      </c>
      <c r="H13" s="26" t="s">
        <v>1066</v>
      </c>
      <c r="I13" s="26" t="s">
        <v>2073</v>
      </c>
      <c r="J13" s="26">
        <v>40.834</v>
      </c>
      <c r="K13" s="26">
        <v>14.248</v>
      </c>
      <c r="L13" s="48"/>
      <c r="M13" s="48"/>
    </row>
    <row r="14">
      <c r="A14" s="35" t="s">
        <v>1067</v>
      </c>
      <c r="B14" s="26" t="s">
        <v>197</v>
      </c>
      <c r="C14" s="26" t="s">
        <v>302</v>
      </c>
      <c r="D14" s="43" t="s">
        <v>605</v>
      </c>
      <c r="E14" s="26" t="s">
        <v>1068</v>
      </c>
      <c r="F14" s="26" t="s">
        <v>1069</v>
      </c>
      <c r="G14" s="26" t="s">
        <v>1039</v>
      </c>
      <c r="H14" s="26" t="s">
        <v>1070</v>
      </c>
      <c r="I14" s="26" t="s">
        <v>2074</v>
      </c>
      <c r="J14" s="26">
        <v>40.8395</v>
      </c>
      <c r="K14" s="26">
        <v>14.2485</v>
      </c>
      <c r="L14" s="48"/>
      <c r="M14" s="48"/>
    </row>
    <row r="15">
      <c r="A15" s="35" t="s">
        <v>1071</v>
      </c>
      <c r="B15" s="26" t="s">
        <v>197</v>
      </c>
      <c r="C15" s="26" t="s">
        <v>1072</v>
      </c>
      <c r="D15" s="43" t="s">
        <v>1096</v>
      </c>
      <c r="E15" s="26" t="s">
        <v>1073</v>
      </c>
      <c r="F15" s="26" t="s">
        <v>1074</v>
      </c>
      <c r="G15" s="26" t="s">
        <v>1039</v>
      </c>
      <c r="H15" s="26" t="s">
        <v>1075</v>
      </c>
      <c r="I15" s="26" t="s">
        <v>2074</v>
      </c>
      <c r="J15" s="26">
        <v>40.8395</v>
      </c>
      <c r="K15" s="26">
        <v>14.2485</v>
      </c>
      <c r="L15" s="48"/>
      <c r="M15" s="48"/>
    </row>
    <row r="16">
      <c r="A16" s="35" t="s">
        <v>1076</v>
      </c>
      <c r="B16" s="26" t="s">
        <v>2075</v>
      </c>
      <c r="C16" s="26" t="s">
        <v>1072</v>
      </c>
      <c r="D16" s="43" t="s">
        <v>1164</v>
      </c>
      <c r="E16" s="26" t="s">
        <v>1077</v>
      </c>
      <c r="F16" s="26" t="s">
        <v>1078</v>
      </c>
      <c r="G16" s="26" t="s">
        <v>1058</v>
      </c>
      <c r="H16" s="26" t="s">
        <v>1050</v>
      </c>
      <c r="I16" s="26" t="s">
        <v>2076</v>
      </c>
      <c r="J16" s="26">
        <v>40.815</v>
      </c>
      <c r="K16" s="26">
        <v>14.218</v>
      </c>
      <c r="L16" s="48"/>
      <c r="M16" s="48"/>
    </row>
    <row r="17">
      <c r="A17" s="35" t="s">
        <v>554</v>
      </c>
      <c r="B17" s="26" t="s">
        <v>2077</v>
      </c>
      <c r="C17" s="26" t="s">
        <v>1072</v>
      </c>
      <c r="D17" s="43" t="s">
        <v>390</v>
      </c>
      <c r="E17" s="26" t="s">
        <v>1079</v>
      </c>
      <c r="F17" s="26" t="s">
        <v>1080</v>
      </c>
      <c r="G17" s="26" t="s">
        <v>1058</v>
      </c>
      <c r="H17" s="26" t="s">
        <v>1075</v>
      </c>
      <c r="I17" s="26" t="s">
        <v>2078</v>
      </c>
      <c r="J17" s="26">
        <v>40.838</v>
      </c>
      <c r="K17" s="26">
        <v>14.268</v>
      </c>
      <c r="L17" s="48"/>
      <c r="M17" s="48"/>
    </row>
    <row r="18">
      <c r="A18" s="35" t="s">
        <v>1081</v>
      </c>
      <c r="B18" s="26" t="s">
        <v>197</v>
      </c>
      <c r="C18" s="26" t="s">
        <v>1082</v>
      </c>
      <c r="D18" s="43" t="s">
        <v>1083</v>
      </c>
      <c r="E18" s="26" t="s">
        <v>1084</v>
      </c>
      <c r="F18" s="26" t="s">
        <v>1085</v>
      </c>
      <c r="G18" s="26" t="s">
        <v>1058</v>
      </c>
      <c r="H18" s="26" t="s">
        <v>1086</v>
      </c>
      <c r="I18" s="26" t="s">
        <v>2079</v>
      </c>
      <c r="J18" s="26">
        <v>40.8365</v>
      </c>
      <c r="K18" s="26">
        <v>14.2455</v>
      </c>
      <c r="L18" s="48"/>
      <c r="M18" s="48"/>
    </row>
    <row r="19">
      <c r="A19" s="35" t="s">
        <v>1087</v>
      </c>
      <c r="B19" s="26" t="s">
        <v>197</v>
      </c>
      <c r="C19" s="26" t="s">
        <v>1088</v>
      </c>
      <c r="D19" s="43" t="s">
        <v>543</v>
      </c>
      <c r="E19" s="26" t="s">
        <v>1089</v>
      </c>
      <c r="F19" s="26" t="s">
        <v>1090</v>
      </c>
      <c r="G19" s="26" t="s">
        <v>1058</v>
      </c>
      <c r="H19" s="26" t="s">
        <v>1091</v>
      </c>
      <c r="I19" s="26" t="s">
        <v>2080</v>
      </c>
      <c r="J19" s="26">
        <v>40.8375</v>
      </c>
      <c r="K19" s="26">
        <v>14.2465</v>
      </c>
      <c r="L19" s="48"/>
      <c r="M19" s="48"/>
    </row>
    <row r="20">
      <c r="A20" s="35" t="s">
        <v>1092</v>
      </c>
      <c r="B20" s="26" t="s">
        <v>197</v>
      </c>
      <c r="C20" s="26" t="s">
        <v>1088</v>
      </c>
      <c r="D20" s="43" t="s">
        <v>543</v>
      </c>
      <c r="E20" s="26" t="s">
        <v>1093</v>
      </c>
      <c r="F20" s="26" t="s">
        <v>1094</v>
      </c>
      <c r="G20" s="26" t="s">
        <v>1058</v>
      </c>
      <c r="H20" s="26" t="s">
        <v>1091</v>
      </c>
      <c r="I20" s="26" t="s">
        <v>2081</v>
      </c>
      <c r="J20" s="26">
        <v>40.837</v>
      </c>
      <c r="K20" s="26">
        <v>14.246</v>
      </c>
      <c r="L20" s="48"/>
      <c r="M20" s="48"/>
    </row>
    <row r="21">
      <c r="A21" s="35" t="s">
        <v>1095</v>
      </c>
      <c r="B21" s="26" t="s">
        <v>197</v>
      </c>
      <c r="C21" s="26" t="s">
        <v>1088</v>
      </c>
      <c r="D21" s="43" t="s">
        <v>1096</v>
      </c>
      <c r="E21" s="26" t="s">
        <v>1097</v>
      </c>
      <c r="F21" s="26" t="s">
        <v>1098</v>
      </c>
      <c r="G21" s="26" t="s">
        <v>1058</v>
      </c>
      <c r="H21" s="26" t="s">
        <v>1062</v>
      </c>
      <c r="I21" s="26" t="s">
        <v>2082</v>
      </c>
      <c r="J21" s="26">
        <v>40.8385</v>
      </c>
      <c r="K21" s="26">
        <v>14.2475</v>
      </c>
      <c r="L21" s="48"/>
      <c r="M21" s="48"/>
    </row>
    <row r="22">
      <c r="A22" s="35" t="s">
        <v>1099</v>
      </c>
      <c r="B22" s="26" t="s">
        <v>197</v>
      </c>
      <c r="C22" s="26" t="s">
        <v>1088</v>
      </c>
      <c r="D22" s="43" t="s">
        <v>247</v>
      </c>
      <c r="E22" s="26" t="s">
        <v>1100</v>
      </c>
      <c r="F22" s="26" t="s">
        <v>1101</v>
      </c>
      <c r="G22" s="26" t="s">
        <v>1058</v>
      </c>
      <c r="H22" s="26" t="s">
        <v>1102</v>
      </c>
      <c r="I22" s="26" t="s">
        <v>2064</v>
      </c>
      <c r="J22" s="26">
        <v>40.838</v>
      </c>
      <c r="K22" s="26">
        <v>14.247</v>
      </c>
      <c r="L22" s="48"/>
      <c r="M22" s="48"/>
    </row>
    <row r="23">
      <c r="A23" s="35" t="s">
        <v>1103</v>
      </c>
      <c r="B23" s="26" t="s">
        <v>197</v>
      </c>
      <c r="C23" s="26" t="s">
        <v>1104</v>
      </c>
      <c r="D23" s="43" t="s">
        <v>270</v>
      </c>
      <c r="E23" s="26" t="s">
        <v>1105</v>
      </c>
      <c r="F23" s="26" t="s">
        <v>1106</v>
      </c>
      <c r="G23" s="26" t="s">
        <v>1058</v>
      </c>
      <c r="H23" s="26" t="s">
        <v>1091</v>
      </c>
      <c r="I23" s="26" t="s">
        <v>2083</v>
      </c>
      <c r="J23" s="26">
        <v>40.8372</v>
      </c>
      <c r="K23" s="26">
        <v>14.2462</v>
      </c>
      <c r="L23" s="48"/>
      <c r="M23" s="48"/>
    </row>
    <row r="24">
      <c r="A24" s="35" t="s">
        <v>1107</v>
      </c>
      <c r="B24" s="26" t="s">
        <v>197</v>
      </c>
      <c r="C24" s="26" t="s">
        <v>1088</v>
      </c>
      <c r="D24" s="43" t="s">
        <v>2084</v>
      </c>
      <c r="E24" s="26" t="s">
        <v>1108</v>
      </c>
      <c r="F24" s="26" t="s">
        <v>1109</v>
      </c>
      <c r="G24" s="26" t="s">
        <v>1110</v>
      </c>
      <c r="H24" s="26" t="s">
        <v>1066</v>
      </c>
      <c r="I24" s="26" t="s">
        <v>2085</v>
      </c>
      <c r="J24" s="26">
        <v>40.8372</v>
      </c>
      <c r="K24" s="26">
        <v>14.2462</v>
      </c>
      <c r="L24" s="48"/>
      <c r="M24" s="48"/>
    </row>
    <row r="25">
      <c r="A25" s="35" t="s">
        <v>1111</v>
      </c>
      <c r="B25" s="26" t="s">
        <v>197</v>
      </c>
      <c r="C25" s="26" t="s">
        <v>542</v>
      </c>
      <c r="D25" s="43" t="s">
        <v>1112</v>
      </c>
      <c r="E25" s="26" t="s">
        <v>1113</v>
      </c>
      <c r="F25" s="26" t="s">
        <v>1114</v>
      </c>
      <c r="G25" s="26" t="s">
        <v>1058</v>
      </c>
      <c r="H25" s="26" t="s">
        <v>1066</v>
      </c>
      <c r="I25" s="26" t="s">
        <v>2086</v>
      </c>
      <c r="J25" s="26">
        <v>40.837</v>
      </c>
      <c r="K25" s="26">
        <v>14.2468</v>
      </c>
      <c r="L25" s="48"/>
      <c r="M25" s="48"/>
    </row>
    <row r="26">
      <c r="A26" s="35" t="s">
        <v>1115</v>
      </c>
      <c r="B26" s="26" t="s">
        <v>197</v>
      </c>
      <c r="C26" s="26" t="s">
        <v>1104</v>
      </c>
      <c r="D26" s="43" t="s">
        <v>270</v>
      </c>
      <c r="E26" s="26" t="s">
        <v>1116</v>
      </c>
      <c r="F26" s="26" t="s">
        <v>1117</v>
      </c>
      <c r="G26" s="26" t="s">
        <v>1058</v>
      </c>
      <c r="H26" s="26" t="s">
        <v>1062</v>
      </c>
      <c r="I26" s="26" t="s">
        <v>2064</v>
      </c>
      <c r="J26" s="26">
        <v>40.838</v>
      </c>
      <c r="K26" s="26">
        <v>14.247</v>
      </c>
      <c r="L26" s="48"/>
      <c r="M26" s="48"/>
    </row>
    <row r="27">
      <c r="A27" s="35" t="s">
        <v>1118</v>
      </c>
      <c r="B27" s="26" t="s">
        <v>197</v>
      </c>
      <c r="C27" s="26" t="s">
        <v>1119</v>
      </c>
      <c r="D27" s="43" t="s">
        <v>222</v>
      </c>
      <c r="E27" s="26" t="s">
        <v>1120</v>
      </c>
      <c r="F27" s="26" t="s">
        <v>1121</v>
      </c>
      <c r="G27" s="26" t="s">
        <v>1122</v>
      </c>
      <c r="H27" s="26" t="s">
        <v>1123</v>
      </c>
      <c r="I27" s="26" t="s">
        <v>2087</v>
      </c>
      <c r="J27" s="26">
        <v>40.836</v>
      </c>
      <c r="K27" s="26">
        <v>14.245</v>
      </c>
      <c r="L27" s="48"/>
      <c r="M27" s="48"/>
    </row>
    <row r="28">
      <c r="A28" s="35" t="s">
        <v>1124</v>
      </c>
      <c r="B28" s="26" t="s">
        <v>255</v>
      </c>
      <c r="C28" s="26" t="s">
        <v>1119</v>
      </c>
      <c r="D28" s="43" t="s">
        <v>2088</v>
      </c>
      <c r="E28" s="26" t="s">
        <v>1125</v>
      </c>
      <c r="F28" s="26" t="s">
        <v>1126</v>
      </c>
      <c r="G28" s="26" t="s">
        <v>1058</v>
      </c>
      <c r="H28" s="26" t="s">
        <v>1123</v>
      </c>
      <c r="I28" s="26" t="s">
        <v>2089</v>
      </c>
      <c r="J28" s="26">
        <v>40.8485</v>
      </c>
      <c r="K28" s="26">
        <v>14.2565</v>
      </c>
      <c r="L28" s="48"/>
      <c r="M28" s="48"/>
    </row>
    <row r="29">
      <c r="A29" s="35" t="s">
        <v>1127</v>
      </c>
      <c r="B29" s="26" t="s">
        <v>255</v>
      </c>
      <c r="C29" s="26" t="s">
        <v>1119</v>
      </c>
      <c r="D29" s="43" t="s">
        <v>1568</v>
      </c>
      <c r="E29" s="26" t="s">
        <v>1128</v>
      </c>
      <c r="F29" s="26" t="s">
        <v>1129</v>
      </c>
      <c r="G29" s="26" t="s">
        <v>1058</v>
      </c>
      <c r="H29" s="26" t="s">
        <v>1123</v>
      </c>
      <c r="I29" s="26" t="s">
        <v>2090</v>
      </c>
      <c r="J29" s="26">
        <v>40.852</v>
      </c>
      <c r="K29" s="26">
        <v>14.268</v>
      </c>
      <c r="L29" s="48"/>
      <c r="M29" s="48"/>
    </row>
    <row r="30">
      <c r="A30" s="35" t="s">
        <v>1130</v>
      </c>
      <c r="B30" s="26" t="s">
        <v>197</v>
      </c>
      <c r="C30" s="26" t="s">
        <v>1119</v>
      </c>
      <c r="D30" s="43" t="s">
        <v>222</v>
      </c>
      <c r="E30" s="26" t="s">
        <v>1131</v>
      </c>
      <c r="F30" s="26" t="s">
        <v>1132</v>
      </c>
      <c r="G30" s="26" t="s">
        <v>1058</v>
      </c>
      <c r="H30" s="26" t="s">
        <v>1123</v>
      </c>
      <c r="I30" s="26" t="s">
        <v>2064</v>
      </c>
      <c r="J30" s="26">
        <v>40.838</v>
      </c>
      <c r="K30" s="26">
        <v>14.247</v>
      </c>
      <c r="L30" s="48"/>
      <c r="M30" s="48"/>
    </row>
    <row r="31">
      <c r="A31" s="35" t="s">
        <v>1133</v>
      </c>
      <c r="B31" s="26" t="s">
        <v>197</v>
      </c>
      <c r="C31" s="26" t="s">
        <v>1134</v>
      </c>
      <c r="D31" s="43" t="s">
        <v>1135</v>
      </c>
      <c r="E31" s="26" t="s">
        <v>1136</v>
      </c>
      <c r="F31" s="26" t="s">
        <v>1137</v>
      </c>
      <c r="G31" s="26" t="s">
        <v>1138</v>
      </c>
      <c r="H31" s="26" t="s">
        <v>1139</v>
      </c>
      <c r="I31" s="26" t="s">
        <v>2091</v>
      </c>
      <c r="J31" s="26">
        <v>40.832</v>
      </c>
      <c r="K31" s="26">
        <v>14.248</v>
      </c>
      <c r="L31" s="48"/>
      <c r="M31" s="48"/>
    </row>
    <row r="32">
      <c r="A32" s="35" t="s">
        <v>1140</v>
      </c>
      <c r="B32" s="26" t="s">
        <v>197</v>
      </c>
      <c r="C32" s="26" t="s">
        <v>1141</v>
      </c>
      <c r="D32" s="43" t="s">
        <v>1142</v>
      </c>
      <c r="E32" s="26" t="s">
        <v>1143</v>
      </c>
      <c r="F32" s="26" t="s">
        <v>1144</v>
      </c>
      <c r="G32" s="26" t="s">
        <v>1058</v>
      </c>
      <c r="H32" s="26" t="s">
        <v>1145</v>
      </c>
      <c r="I32" s="26" t="s">
        <v>2092</v>
      </c>
      <c r="J32" s="26">
        <v>40.832</v>
      </c>
      <c r="K32" s="26">
        <v>14.248</v>
      </c>
      <c r="L32" s="48"/>
      <c r="M32" s="48"/>
    </row>
    <row r="33">
      <c r="A33" s="35" t="s">
        <v>1146</v>
      </c>
      <c r="B33" s="26" t="s">
        <v>197</v>
      </c>
      <c r="C33" s="26" t="s">
        <v>632</v>
      </c>
      <c r="D33" s="43" t="s">
        <v>470</v>
      </c>
      <c r="E33" s="26" t="s">
        <v>2093</v>
      </c>
      <c r="F33" s="50" t="s">
        <v>2094</v>
      </c>
      <c r="G33" s="26" t="s">
        <v>1058</v>
      </c>
      <c r="H33" s="26" t="s">
        <v>1148</v>
      </c>
      <c r="I33" s="26" t="s">
        <v>2095</v>
      </c>
      <c r="J33" s="26">
        <v>40.831</v>
      </c>
      <c r="K33" s="26">
        <v>14.247</v>
      </c>
    </row>
    <row r="34">
      <c r="A34" s="35" t="s">
        <v>1149</v>
      </c>
      <c r="B34" s="26" t="s">
        <v>197</v>
      </c>
      <c r="C34" s="26" t="s">
        <v>632</v>
      </c>
      <c r="D34" s="43" t="s">
        <v>579</v>
      </c>
      <c r="E34" s="26" t="s">
        <v>2096</v>
      </c>
      <c r="F34" s="26" t="s">
        <v>1151</v>
      </c>
      <c r="G34" s="26" t="s">
        <v>1152</v>
      </c>
      <c r="H34" s="26" t="s">
        <v>1153</v>
      </c>
      <c r="I34" s="26" t="s">
        <v>2095</v>
      </c>
      <c r="J34" s="26">
        <v>40.831</v>
      </c>
      <c r="K34" s="26">
        <v>14.247</v>
      </c>
      <c r="L34" s="48"/>
      <c r="M34" s="48"/>
    </row>
    <row r="35">
      <c r="A35" s="35" t="s">
        <v>1154</v>
      </c>
      <c r="B35" s="26" t="s">
        <v>197</v>
      </c>
      <c r="C35" s="26" t="s">
        <v>632</v>
      </c>
      <c r="D35" s="43" t="s">
        <v>2097</v>
      </c>
      <c r="E35" s="26" t="s">
        <v>1155</v>
      </c>
      <c r="F35" s="26" t="s">
        <v>1156</v>
      </c>
      <c r="G35" s="26" t="s">
        <v>1058</v>
      </c>
      <c r="H35" s="26" t="s">
        <v>1157</v>
      </c>
      <c r="I35" s="26" t="s">
        <v>2098</v>
      </c>
      <c r="J35" s="26">
        <v>40.831</v>
      </c>
      <c r="K35" s="26">
        <v>14.247</v>
      </c>
      <c r="L35" s="48"/>
      <c r="M35" s="48"/>
    </row>
    <row r="36">
      <c r="A36" s="35" t="s">
        <v>1158</v>
      </c>
      <c r="B36" s="26" t="s">
        <v>255</v>
      </c>
      <c r="C36" s="26" t="s">
        <v>941</v>
      </c>
      <c r="D36" s="43" t="s">
        <v>1009</v>
      </c>
      <c r="E36" s="26" t="s">
        <v>1159</v>
      </c>
      <c r="F36" s="26" t="s">
        <v>1160</v>
      </c>
      <c r="G36" s="26" t="s">
        <v>1058</v>
      </c>
      <c r="H36" s="26" t="s">
        <v>1161</v>
      </c>
      <c r="I36" s="26" t="s">
        <v>2099</v>
      </c>
      <c r="J36" s="26">
        <v>40.8485</v>
      </c>
      <c r="K36" s="26">
        <v>14.2565</v>
      </c>
      <c r="L36" s="48"/>
      <c r="M36" s="48"/>
    </row>
    <row r="37">
      <c r="A37" s="35" t="s">
        <v>1162</v>
      </c>
      <c r="B37" s="26" t="s">
        <v>197</v>
      </c>
      <c r="C37" s="26" t="s">
        <v>1163</v>
      </c>
      <c r="D37" s="43" t="s">
        <v>1164</v>
      </c>
      <c r="E37" s="26" t="s">
        <v>1165</v>
      </c>
      <c r="F37" s="26" t="s">
        <v>1166</v>
      </c>
      <c r="G37" s="26" t="s">
        <v>1167</v>
      </c>
      <c r="H37" s="26" t="s">
        <v>1139</v>
      </c>
      <c r="I37" s="26" t="s">
        <v>2091</v>
      </c>
      <c r="J37" s="26">
        <v>40.832</v>
      </c>
      <c r="K37" s="26">
        <v>14.248</v>
      </c>
      <c r="L37" s="48"/>
      <c r="M37" s="48"/>
    </row>
    <row r="38">
      <c r="A38" s="35" t="s">
        <v>1168</v>
      </c>
      <c r="B38" s="26" t="s">
        <v>197</v>
      </c>
      <c r="C38" s="26" t="s">
        <v>656</v>
      </c>
      <c r="D38" s="43" t="s">
        <v>657</v>
      </c>
      <c r="E38" s="26" t="s">
        <v>1169</v>
      </c>
      <c r="F38" s="26" t="s">
        <v>1170</v>
      </c>
      <c r="G38" s="26" t="s">
        <v>1171</v>
      </c>
      <c r="H38" s="26" t="s">
        <v>1172</v>
      </c>
      <c r="I38" s="26" t="s">
        <v>2100</v>
      </c>
      <c r="J38" s="26">
        <v>40.838</v>
      </c>
      <c r="K38" s="26">
        <v>14.247</v>
      </c>
      <c r="L38" s="48"/>
      <c r="M38" s="48"/>
    </row>
    <row r="39">
      <c r="A39" s="35" t="s">
        <v>1173</v>
      </c>
      <c r="B39" s="26" t="s">
        <v>197</v>
      </c>
      <c r="C39" s="26" t="s">
        <v>1174</v>
      </c>
      <c r="D39" s="43" t="s">
        <v>1268</v>
      </c>
      <c r="E39" s="26" t="s">
        <v>1175</v>
      </c>
      <c r="F39" s="26" t="s">
        <v>1176</v>
      </c>
      <c r="G39" s="26" t="s">
        <v>1058</v>
      </c>
      <c r="H39" s="26" t="s">
        <v>1177</v>
      </c>
      <c r="I39" s="26" t="s">
        <v>2101</v>
      </c>
      <c r="J39" s="26">
        <v>40.8385</v>
      </c>
      <c r="K39" s="26">
        <v>14.2475</v>
      </c>
      <c r="L39" s="48"/>
      <c r="M39" s="48"/>
    </row>
    <row r="40">
      <c r="A40" s="35" t="s">
        <v>1178</v>
      </c>
      <c r="B40" s="26" t="s">
        <v>197</v>
      </c>
      <c r="C40" s="26" t="s">
        <v>1174</v>
      </c>
      <c r="D40" s="43" t="s">
        <v>1688</v>
      </c>
      <c r="E40" s="26" t="s">
        <v>1179</v>
      </c>
      <c r="F40" s="26" t="s">
        <v>1180</v>
      </c>
      <c r="G40" s="26" t="s">
        <v>1058</v>
      </c>
      <c r="H40" s="26" t="s">
        <v>1181</v>
      </c>
      <c r="I40" s="26" t="s">
        <v>2064</v>
      </c>
      <c r="J40" s="26">
        <v>40.838</v>
      </c>
      <c r="K40" s="26">
        <v>14.247</v>
      </c>
      <c r="L40" s="48"/>
      <c r="M40" s="48"/>
    </row>
    <row r="41">
      <c r="A41" s="35" t="s">
        <v>1182</v>
      </c>
      <c r="B41" s="26" t="s">
        <v>197</v>
      </c>
      <c r="C41" s="26" t="s">
        <v>246</v>
      </c>
      <c r="D41" s="43" t="s">
        <v>247</v>
      </c>
      <c r="E41" s="26" t="s">
        <v>1183</v>
      </c>
      <c r="F41" s="26" t="s">
        <v>1184</v>
      </c>
      <c r="G41" s="26" t="s">
        <v>1185</v>
      </c>
      <c r="H41" s="26" t="s">
        <v>1145</v>
      </c>
      <c r="I41" s="26" t="s">
        <v>2102</v>
      </c>
      <c r="J41" s="26">
        <v>40.8372</v>
      </c>
      <c r="K41" s="26">
        <v>14.2462</v>
      </c>
      <c r="L41" s="48"/>
      <c r="M41" s="48"/>
    </row>
    <row r="42">
      <c r="A42" s="35" t="s">
        <v>1189</v>
      </c>
      <c r="B42" s="26" t="s">
        <v>197</v>
      </c>
      <c r="C42" s="26" t="s">
        <v>246</v>
      </c>
      <c r="D42" s="43" t="s">
        <v>247</v>
      </c>
      <c r="E42" s="26" t="s">
        <v>1190</v>
      </c>
      <c r="F42" s="26" t="s">
        <v>1191</v>
      </c>
      <c r="G42" s="26" t="s">
        <v>1058</v>
      </c>
      <c r="H42" s="26" t="s">
        <v>1192</v>
      </c>
      <c r="I42" s="26" t="s">
        <v>2064</v>
      </c>
      <c r="J42" s="26">
        <v>40.838</v>
      </c>
      <c r="K42" s="26">
        <v>14.247</v>
      </c>
      <c r="L42" s="48"/>
      <c r="M42" s="48"/>
    </row>
    <row r="43">
      <c r="A43" s="35" t="s">
        <v>1195</v>
      </c>
      <c r="B43" s="26" t="s">
        <v>197</v>
      </c>
      <c r="C43" s="26" t="s">
        <v>246</v>
      </c>
      <c r="D43" s="43" t="s">
        <v>247</v>
      </c>
      <c r="E43" s="26" t="s">
        <v>1196</v>
      </c>
      <c r="F43" s="26" t="s">
        <v>1197</v>
      </c>
      <c r="G43" s="26" t="s">
        <v>1058</v>
      </c>
      <c r="H43" s="26" t="s">
        <v>1153</v>
      </c>
      <c r="I43" s="26" t="s">
        <v>2064</v>
      </c>
      <c r="J43" s="26">
        <v>40.838</v>
      </c>
      <c r="K43" s="26">
        <v>14.247</v>
      </c>
      <c r="L43" s="48"/>
      <c r="M43" s="48"/>
    </row>
    <row r="44">
      <c r="A44" s="35" t="s">
        <v>1200</v>
      </c>
      <c r="B44" s="26" t="s">
        <v>197</v>
      </c>
      <c r="C44" s="26" t="s">
        <v>246</v>
      </c>
      <c r="D44" s="43" t="s">
        <v>625</v>
      </c>
      <c r="E44" s="26" t="s">
        <v>1201</v>
      </c>
      <c r="F44" s="26" t="s">
        <v>1202</v>
      </c>
      <c r="G44" s="26" t="s">
        <v>1058</v>
      </c>
      <c r="H44" s="26" t="s">
        <v>1157</v>
      </c>
      <c r="I44" s="26" t="s">
        <v>2064</v>
      </c>
      <c r="J44" s="26">
        <v>40.838</v>
      </c>
      <c r="K44" s="26">
        <v>14.247</v>
      </c>
      <c r="L44" s="48"/>
      <c r="M44" s="48"/>
    </row>
    <row r="45">
      <c r="A45" s="35" t="s">
        <v>1205</v>
      </c>
      <c r="B45" s="26" t="s">
        <v>197</v>
      </c>
      <c r="C45" s="26" t="s">
        <v>246</v>
      </c>
      <c r="D45" s="43" t="s">
        <v>1206</v>
      </c>
      <c r="E45" s="26" t="s">
        <v>1207</v>
      </c>
      <c r="F45" s="26" t="s">
        <v>1208</v>
      </c>
      <c r="G45" s="26" t="s">
        <v>1058</v>
      </c>
      <c r="H45" s="26" t="s">
        <v>1123</v>
      </c>
      <c r="I45" s="26" t="s">
        <v>2103</v>
      </c>
      <c r="J45" s="26">
        <v>40.8365</v>
      </c>
      <c r="K45" s="26">
        <v>14.2455</v>
      </c>
      <c r="L45" s="48"/>
      <c r="M45" s="48"/>
    </row>
    <row r="46">
      <c r="A46" s="35" t="s">
        <v>1209</v>
      </c>
      <c r="B46" s="26" t="s">
        <v>2104</v>
      </c>
      <c r="C46" s="26" t="s">
        <v>1210</v>
      </c>
      <c r="D46" s="43" t="s">
        <v>409</v>
      </c>
      <c r="E46" s="26" t="s">
        <v>1211</v>
      </c>
      <c r="F46" s="26" t="s">
        <v>1212</v>
      </c>
      <c r="G46" s="26" t="s">
        <v>1058</v>
      </c>
      <c r="H46" s="26" t="s">
        <v>1213</v>
      </c>
      <c r="I46" s="26" t="s">
        <v>2105</v>
      </c>
      <c r="J46" s="26">
        <v>40.828</v>
      </c>
      <c r="K46" s="26">
        <v>14.238</v>
      </c>
      <c r="L46" s="48"/>
      <c r="M46" s="48"/>
    </row>
    <row r="47">
      <c r="A47" s="35" t="s">
        <v>1217</v>
      </c>
      <c r="B47" s="26" t="s">
        <v>197</v>
      </c>
      <c r="C47" s="26" t="s">
        <v>1210</v>
      </c>
      <c r="D47" s="43" t="s">
        <v>409</v>
      </c>
      <c r="E47" s="26" t="s">
        <v>1218</v>
      </c>
      <c r="F47" s="26" t="s">
        <v>1219</v>
      </c>
      <c r="G47" s="26" t="s">
        <v>1058</v>
      </c>
      <c r="H47" s="26" t="s">
        <v>1145</v>
      </c>
      <c r="I47" s="26" t="s">
        <v>2064</v>
      </c>
      <c r="J47" s="26">
        <v>40.838</v>
      </c>
      <c r="K47" s="26">
        <v>14.247</v>
      </c>
      <c r="L47" s="48"/>
      <c r="M47" s="48"/>
    </row>
    <row r="48">
      <c r="A48" s="35" t="s">
        <v>1222</v>
      </c>
      <c r="B48" s="26" t="s">
        <v>197</v>
      </c>
      <c r="C48" s="26" t="s">
        <v>1210</v>
      </c>
      <c r="D48" s="43" t="s">
        <v>409</v>
      </c>
      <c r="E48" s="26" t="s">
        <v>1223</v>
      </c>
      <c r="F48" s="26" t="s">
        <v>1224</v>
      </c>
      <c r="G48" s="26" t="s">
        <v>1058</v>
      </c>
      <c r="H48" s="26" t="s">
        <v>1225</v>
      </c>
      <c r="I48" s="26" t="s">
        <v>2064</v>
      </c>
      <c r="J48" s="26">
        <v>40.838</v>
      </c>
      <c r="K48" s="26">
        <v>14.247</v>
      </c>
      <c r="L48" s="48"/>
      <c r="M48" s="48"/>
    </row>
    <row r="49">
      <c r="A49" s="35" t="s">
        <v>1228</v>
      </c>
      <c r="B49" s="26" t="s">
        <v>2106</v>
      </c>
      <c r="C49" s="26" t="s">
        <v>1210</v>
      </c>
      <c r="D49" s="43" t="s">
        <v>409</v>
      </c>
      <c r="E49" s="26" t="s">
        <v>1229</v>
      </c>
      <c r="F49" s="26" t="s">
        <v>1230</v>
      </c>
      <c r="G49" s="26" t="s">
        <v>1058</v>
      </c>
      <c r="H49" s="26" t="s">
        <v>1231</v>
      </c>
      <c r="I49" s="26" t="s">
        <v>2107</v>
      </c>
      <c r="J49" s="26">
        <v>40.852</v>
      </c>
      <c r="K49" s="26">
        <v>14.268</v>
      </c>
      <c r="L49" s="48"/>
      <c r="M49" s="48"/>
    </row>
    <row r="50">
      <c r="A50" s="35" t="s">
        <v>1234</v>
      </c>
      <c r="B50" s="26" t="s">
        <v>197</v>
      </c>
      <c r="C50" s="26" t="s">
        <v>408</v>
      </c>
      <c r="D50" s="43" t="s">
        <v>521</v>
      </c>
      <c r="E50" s="26" t="s">
        <v>1235</v>
      </c>
      <c r="F50" s="26" t="s">
        <v>1236</v>
      </c>
      <c r="G50" s="26" t="s">
        <v>1058</v>
      </c>
      <c r="H50" s="26" t="s">
        <v>1237</v>
      </c>
      <c r="I50" s="26" t="s">
        <v>2108</v>
      </c>
      <c r="J50" s="26">
        <v>40.837</v>
      </c>
      <c r="K50" s="26">
        <v>14.2468</v>
      </c>
      <c r="L50" s="48"/>
      <c r="M50" s="48"/>
    </row>
    <row r="51">
      <c r="A51" s="35" t="s">
        <v>1240</v>
      </c>
      <c r="B51" s="26" t="s">
        <v>2071</v>
      </c>
      <c r="C51" s="26" t="s">
        <v>1104</v>
      </c>
      <c r="D51" s="43" t="s">
        <v>270</v>
      </c>
      <c r="E51" s="26" t="s">
        <v>1241</v>
      </c>
      <c r="F51" s="26" t="s">
        <v>1242</v>
      </c>
      <c r="G51" s="26" t="s">
        <v>1058</v>
      </c>
      <c r="H51" s="26" t="s">
        <v>1243</v>
      </c>
      <c r="I51" s="26" t="s">
        <v>2109</v>
      </c>
      <c r="J51" s="26">
        <v>40.847</v>
      </c>
      <c r="K51" s="26">
        <v>14.255</v>
      </c>
      <c r="L51" s="48"/>
      <c r="M51" s="48"/>
    </row>
    <row r="52">
      <c r="A52" s="35" t="s">
        <v>1246</v>
      </c>
      <c r="B52" s="26" t="s">
        <v>2106</v>
      </c>
      <c r="C52" s="26" t="s">
        <v>1104</v>
      </c>
      <c r="D52" s="43" t="s">
        <v>270</v>
      </c>
      <c r="E52" s="26" t="s">
        <v>1247</v>
      </c>
      <c r="F52" s="26" t="s">
        <v>1248</v>
      </c>
      <c r="G52" s="26" t="s">
        <v>1058</v>
      </c>
      <c r="H52" s="26" t="s">
        <v>1237</v>
      </c>
      <c r="I52" s="26" t="s">
        <v>2110</v>
      </c>
      <c r="J52" s="26">
        <v>40.834</v>
      </c>
      <c r="K52" s="26">
        <v>14.249</v>
      </c>
      <c r="L52" s="48"/>
      <c r="M52" s="48"/>
    </row>
    <row r="53">
      <c r="A53" s="35" t="s">
        <v>1251</v>
      </c>
      <c r="B53" s="26" t="s">
        <v>255</v>
      </c>
      <c r="C53" s="26" t="s">
        <v>1104</v>
      </c>
      <c r="D53" s="43" t="s">
        <v>270</v>
      </c>
      <c r="E53" s="26" t="s">
        <v>1252</v>
      </c>
      <c r="F53" s="26" t="s">
        <v>1253</v>
      </c>
      <c r="G53" s="26" t="s">
        <v>1058</v>
      </c>
      <c r="H53" s="26" t="s">
        <v>1243</v>
      </c>
      <c r="I53" s="26" t="s">
        <v>2111</v>
      </c>
      <c r="J53" s="26">
        <v>40.832</v>
      </c>
      <c r="K53" s="26">
        <v>14.252</v>
      </c>
      <c r="L53" s="48"/>
      <c r="M53" s="48"/>
    </row>
    <row r="54">
      <c r="A54" s="35" t="s">
        <v>1256</v>
      </c>
      <c r="B54" s="26" t="s">
        <v>2071</v>
      </c>
      <c r="C54" s="26" t="s">
        <v>1088</v>
      </c>
      <c r="D54" s="43" t="s">
        <v>1096</v>
      </c>
      <c r="E54" s="26" t="s">
        <v>1257</v>
      </c>
      <c r="F54" s="26" t="s">
        <v>1258</v>
      </c>
      <c r="G54" s="26" t="s">
        <v>1058</v>
      </c>
      <c r="H54" s="26" t="s">
        <v>1237</v>
      </c>
      <c r="I54" s="26" t="s">
        <v>2112</v>
      </c>
      <c r="J54" s="26">
        <v>40.8465</v>
      </c>
      <c r="K54" s="26">
        <v>14.2545</v>
      </c>
      <c r="L54" s="48"/>
      <c r="M54" s="48"/>
    </row>
    <row r="55">
      <c r="A55" s="35" t="s">
        <v>1261</v>
      </c>
      <c r="B55" s="26" t="s">
        <v>2113</v>
      </c>
      <c r="C55" s="26" t="s">
        <v>1104</v>
      </c>
      <c r="D55" s="43" t="s">
        <v>270</v>
      </c>
      <c r="E55" s="26" t="s">
        <v>1262</v>
      </c>
      <c r="F55" s="26" t="s">
        <v>1263</v>
      </c>
      <c r="G55" s="26" t="s">
        <v>1058</v>
      </c>
      <c r="H55" s="26" t="s">
        <v>1264</v>
      </c>
      <c r="I55" s="26" t="s">
        <v>2111</v>
      </c>
      <c r="J55" s="26">
        <v>40.832</v>
      </c>
      <c r="K55" s="26">
        <v>14.252</v>
      </c>
      <c r="L55" s="48"/>
      <c r="M55" s="48"/>
    </row>
    <row r="56">
      <c r="A56" s="35" t="s">
        <v>1267</v>
      </c>
      <c r="B56" s="26" t="s">
        <v>197</v>
      </c>
      <c r="C56" s="26" t="s">
        <v>1174</v>
      </c>
      <c r="D56" s="43" t="s">
        <v>1268</v>
      </c>
      <c r="E56" s="26" t="s">
        <v>1269</v>
      </c>
      <c r="F56" s="26" t="s">
        <v>1270</v>
      </c>
      <c r="G56" s="26" t="s">
        <v>1058</v>
      </c>
      <c r="H56" s="26" t="s">
        <v>1172</v>
      </c>
      <c r="I56" s="26" t="s">
        <v>2114</v>
      </c>
      <c r="J56" s="26">
        <v>40.8315</v>
      </c>
      <c r="K56" s="26">
        <v>14.2475</v>
      </c>
      <c r="L56" s="48"/>
      <c r="M56" s="48"/>
    </row>
    <row r="57">
      <c r="A57" s="35" t="s">
        <v>1273</v>
      </c>
      <c r="B57" s="26" t="s">
        <v>197</v>
      </c>
      <c r="C57" s="26" t="s">
        <v>1174</v>
      </c>
      <c r="D57" s="43" t="s">
        <v>1274</v>
      </c>
      <c r="E57" s="26" t="s">
        <v>1275</v>
      </c>
      <c r="F57" s="26" t="s">
        <v>1276</v>
      </c>
      <c r="G57" s="26" t="s">
        <v>1058</v>
      </c>
      <c r="H57" s="26" t="s">
        <v>1277</v>
      </c>
      <c r="I57" s="26" t="s">
        <v>2064</v>
      </c>
      <c r="J57" s="26">
        <v>40.838</v>
      </c>
      <c r="K57" s="26">
        <v>14.247</v>
      </c>
      <c r="L57" s="48"/>
      <c r="M57" s="48"/>
    </row>
    <row r="58">
      <c r="A58" s="35" t="s">
        <v>1280</v>
      </c>
      <c r="B58" s="26" t="s">
        <v>197</v>
      </c>
      <c r="C58" s="26" t="s">
        <v>1174</v>
      </c>
      <c r="D58" s="43" t="s">
        <v>1281</v>
      </c>
      <c r="E58" s="26" t="s">
        <v>1282</v>
      </c>
      <c r="F58" s="26" t="s">
        <v>1283</v>
      </c>
      <c r="G58" s="26" t="s">
        <v>1058</v>
      </c>
      <c r="H58" s="26" t="s">
        <v>1284</v>
      </c>
      <c r="I58" s="26" t="s">
        <v>2064</v>
      </c>
      <c r="J58" s="26">
        <v>40.838</v>
      </c>
      <c r="K58" s="26">
        <v>14.247</v>
      </c>
      <c r="L58" s="48"/>
      <c r="M58" s="48"/>
    </row>
    <row r="59">
      <c r="A59" s="35" t="s">
        <v>1285</v>
      </c>
      <c r="B59" s="26" t="s">
        <v>197</v>
      </c>
      <c r="C59" s="26" t="s">
        <v>1286</v>
      </c>
      <c r="D59" s="43" t="s">
        <v>1287</v>
      </c>
      <c r="E59" s="26" t="s">
        <v>1288</v>
      </c>
      <c r="F59" s="26" t="s">
        <v>1289</v>
      </c>
      <c r="G59" s="26" t="s">
        <v>1058</v>
      </c>
      <c r="H59" s="26" t="s">
        <v>1290</v>
      </c>
      <c r="I59" s="26" t="s">
        <v>2064</v>
      </c>
      <c r="J59" s="26">
        <v>40.838</v>
      </c>
      <c r="K59" s="26">
        <v>14.247</v>
      </c>
      <c r="L59" s="48"/>
      <c r="M59" s="48"/>
    </row>
    <row r="60">
      <c r="A60" s="35" t="s">
        <v>1293</v>
      </c>
      <c r="B60" s="26" t="s">
        <v>2115</v>
      </c>
      <c r="C60" s="26" t="s">
        <v>1119</v>
      </c>
      <c r="D60" s="43" t="s">
        <v>222</v>
      </c>
      <c r="E60" s="26" t="s">
        <v>1294</v>
      </c>
      <c r="F60" s="26" t="s">
        <v>1295</v>
      </c>
      <c r="G60" s="26" t="s">
        <v>1058</v>
      </c>
      <c r="H60" s="26" t="s">
        <v>1123</v>
      </c>
      <c r="I60" s="26" t="s">
        <v>2116</v>
      </c>
      <c r="J60" s="26">
        <v>40.832</v>
      </c>
      <c r="K60" s="26">
        <v>14.248</v>
      </c>
      <c r="L60" s="48"/>
      <c r="M60" s="48"/>
    </row>
    <row r="61">
      <c r="A61" s="35" t="s">
        <v>1298</v>
      </c>
      <c r="B61" s="26" t="s">
        <v>255</v>
      </c>
      <c r="C61" s="26" t="s">
        <v>1119</v>
      </c>
      <c r="D61" s="43" t="s">
        <v>222</v>
      </c>
      <c r="E61" s="26" t="s">
        <v>1299</v>
      </c>
      <c r="F61" s="26" t="s">
        <v>1300</v>
      </c>
      <c r="G61" s="26" t="s">
        <v>1058</v>
      </c>
      <c r="H61" s="26" t="s">
        <v>1123</v>
      </c>
      <c r="I61" s="26" t="s">
        <v>2117</v>
      </c>
      <c r="J61" s="26">
        <v>40.8485</v>
      </c>
      <c r="K61" s="26">
        <v>14.2565</v>
      </c>
      <c r="L61" s="48"/>
      <c r="M61" s="48"/>
    </row>
    <row r="62">
      <c r="A62" s="35" t="s">
        <v>1303</v>
      </c>
      <c r="B62" s="26" t="s">
        <v>255</v>
      </c>
      <c r="C62" s="26" t="s">
        <v>1119</v>
      </c>
      <c r="D62" s="43" t="s">
        <v>222</v>
      </c>
      <c r="E62" s="26" t="s">
        <v>1304</v>
      </c>
      <c r="F62" s="26" t="s">
        <v>1305</v>
      </c>
      <c r="G62" s="26" t="s">
        <v>1058</v>
      </c>
      <c r="H62" s="26" t="s">
        <v>1123</v>
      </c>
      <c r="I62" s="26" t="s">
        <v>2118</v>
      </c>
      <c r="J62" s="26">
        <v>40.8485</v>
      </c>
      <c r="K62" s="26">
        <v>14.2565</v>
      </c>
      <c r="L62" s="48"/>
      <c r="M62" s="48"/>
    </row>
    <row r="63">
      <c r="A63" s="35" t="s">
        <v>1308</v>
      </c>
      <c r="B63" s="26" t="s">
        <v>2106</v>
      </c>
      <c r="C63" s="26" t="s">
        <v>1309</v>
      </c>
      <c r="D63" s="43" t="s">
        <v>1310</v>
      </c>
      <c r="E63" s="26" t="s">
        <v>1311</v>
      </c>
      <c r="F63" s="26" t="s">
        <v>1312</v>
      </c>
      <c r="G63" s="26" t="s">
        <v>1058</v>
      </c>
      <c r="H63" s="26" t="s">
        <v>1237</v>
      </c>
      <c r="I63" s="26" t="s">
        <v>2119</v>
      </c>
      <c r="J63" s="26">
        <v>40.837</v>
      </c>
      <c r="K63" s="26">
        <v>14.246</v>
      </c>
      <c r="L63" s="48"/>
      <c r="M63" s="48"/>
    </row>
    <row r="64">
      <c r="A64" s="35" t="s">
        <v>1315</v>
      </c>
      <c r="B64" s="26" t="s">
        <v>255</v>
      </c>
      <c r="C64" s="26" t="s">
        <v>246</v>
      </c>
      <c r="D64" s="43" t="s">
        <v>247</v>
      </c>
      <c r="E64" s="26" t="s">
        <v>1316</v>
      </c>
      <c r="F64" s="26" t="s">
        <v>1317</v>
      </c>
      <c r="G64" s="26" t="s">
        <v>1058</v>
      </c>
      <c r="H64" s="26" t="s">
        <v>1225</v>
      </c>
      <c r="I64" s="26" t="s">
        <v>2120</v>
      </c>
      <c r="J64" s="26">
        <v>40.828</v>
      </c>
      <c r="K64" s="26">
        <v>14.238</v>
      </c>
      <c r="L64" s="48"/>
      <c r="M64" s="48"/>
    </row>
    <row r="65">
      <c r="A65" s="35" t="s">
        <v>1320</v>
      </c>
      <c r="B65" s="26" t="s">
        <v>255</v>
      </c>
      <c r="C65" s="26" t="s">
        <v>1104</v>
      </c>
      <c r="D65" s="43" t="s">
        <v>270</v>
      </c>
      <c r="E65" s="26" t="s">
        <v>1321</v>
      </c>
      <c r="F65" s="26" t="s">
        <v>1322</v>
      </c>
      <c r="G65" s="26" t="s">
        <v>1058</v>
      </c>
      <c r="H65" s="26" t="s">
        <v>1243</v>
      </c>
      <c r="I65" s="26" t="s">
        <v>2121</v>
      </c>
      <c r="J65" s="26">
        <v>40.852</v>
      </c>
      <c r="K65" s="26">
        <v>14.268</v>
      </c>
      <c r="L65" s="48"/>
      <c r="M65" s="48"/>
    </row>
    <row r="66">
      <c r="A66" s="35" t="s">
        <v>1323</v>
      </c>
      <c r="B66" s="26" t="s">
        <v>255</v>
      </c>
      <c r="C66" s="26" t="s">
        <v>1088</v>
      </c>
      <c r="D66" s="43" t="s">
        <v>1096</v>
      </c>
      <c r="E66" s="26" t="s">
        <v>1324</v>
      </c>
      <c r="F66" s="26" t="s">
        <v>1325</v>
      </c>
      <c r="G66" s="26" t="s">
        <v>1058</v>
      </c>
      <c r="H66" s="26" t="s">
        <v>1326</v>
      </c>
      <c r="I66" s="26" t="s">
        <v>2122</v>
      </c>
      <c r="J66" s="26">
        <v>40.845</v>
      </c>
      <c r="K66" s="26">
        <v>14.258</v>
      </c>
      <c r="L66" s="48"/>
      <c r="M66" s="48"/>
    </row>
    <row r="67">
      <c r="A67" s="35" t="s">
        <v>1329</v>
      </c>
      <c r="B67" s="26" t="s">
        <v>255</v>
      </c>
      <c r="C67" s="26" t="s">
        <v>624</v>
      </c>
      <c r="D67" s="43" t="s">
        <v>1330</v>
      </c>
      <c r="E67" s="26" t="s">
        <v>1331</v>
      </c>
      <c r="F67" s="26" t="s">
        <v>1332</v>
      </c>
      <c r="G67" s="26" t="s">
        <v>1058</v>
      </c>
      <c r="H67" s="26" t="s">
        <v>1123</v>
      </c>
      <c r="I67" s="26" t="s">
        <v>2117</v>
      </c>
      <c r="J67" s="26">
        <v>40.8485</v>
      </c>
      <c r="K67" s="26">
        <v>14.2565</v>
      </c>
      <c r="L67" s="48"/>
      <c r="M67" s="48"/>
    </row>
    <row r="68">
      <c r="A68" s="35" t="s">
        <v>1335</v>
      </c>
      <c r="B68" s="26" t="s">
        <v>2113</v>
      </c>
      <c r="C68" s="26" t="s">
        <v>624</v>
      </c>
      <c r="D68" s="43" t="s">
        <v>1330</v>
      </c>
      <c r="E68" s="26" t="s">
        <v>1336</v>
      </c>
      <c r="F68" s="26" t="s">
        <v>1337</v>
      </c>
      <c r="G68" s="26" t="s">
        <v>1058</v>
      </c>
      <c r="H68" s="26" t="s">
        <v>1338</v>
      </c>
      <c r="I68" s="26" t="s">
        <v>2123</v>
      </c>
      <c r="J68" s="26">
        <v>40.832</v>
      </c>
      <c r="K68" s="26">
        <v>14.248</v>
      </c>
      <c r="L68" s="48"/>
      <c r="M68" s="48"/>
    </row>
    <row r="69">
      <c r="A69" s="35" t="s">
        <v>1341</v>
      </c>
      <c r="B69" s="26" t="s">
        <v>2071</v>
      </c>
      <c r="C69" s="26" t="s">
        <v>1342</v>
      </c>
      <c r="D69" s="43" t="s">
        <v>1206</v>
      </c>
      <c r="E69" s="26" t="s">
        <v>1343</v>
      </c>
      <c r="F69" s="26" t="s">
        <v>1344</v>
      </c>
      <c r="G69" s="26" t="s">
        <v>1058</v>
      </c>
      <c r="H69" s="26" t="s">
        <v>1145</v>
      </c>
      <c r="I69" s="26" t="s">
        <v>2124</v>
      </c>
      <c r="J69" s="26">
        <v>40.852</v>
      </c>
      <c r="K69" s="26">
        <v>14.268</v>
      </c>
      <c r="L69" s="48"/>
      <c r="M69" s="48"/>
    </row>
    <row r="70">
      <c r="A70" s="35" t="s">
        <v>1347</v>
      </c>
      <c r="B70" s="26" t="s">
        <v>197</v>
      </c>
      <c r="C70" s="26" t="s">
        <v>1348</v>
      </c>
      <c r="D70" s="43" t="s">
        <v>1349</v>
      </c>
      <c r="E70" s="26" t="s">
        <v>1350</v>
      </c>
      <c r="F70" s="26" t="s">
        <v>1351</v>
      </c>
      <c r="G70" s="26" t="s">
        <v>1058</v>
      </c>
      <c r="H70" s="26" t="s">
        <v>1352</v>
      </c>
      <c r="I70" s="26" t="s">
        <v>2125</v>
      </c>
      <c r="J70" s="26">
        <v>40.8375</v>
      </c>
      <c r="K70" s="26">
        <v>14.2465</v>
      </c>
      <c r="L70" s="48"/>
      <c r="M70" s="48"/>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16.5"/>
    <col customWidth="1" min="4" max="4" width="72.88"/>
    <col customWidth="1" min="7" max="7" width="35.75"/>
    <col customWidth="1" min="8" max="8" width="53.88"/>
  </cols>
  <sheetData>
    <row r="1">
      <c r="A1" s="20" t="s">
        <v>200</v>
      </c>
      <c r="B1" s="20" t="s">
        <v>202</v>
      </c>
      <c r="C1" s="20" t="s">
        <v>203</v>
      </c>
      <c r="D1" s="20" t="s">
        <v>204</v>
      </c>
      <c r="E1" s="20" t="s">
        <v>205</v>
      </c>
      <c r="F1" s="20" t="s">
        <v>206</v>
      </c>
      <c r="G1" s="20" t="s">
        <v>2060</v>
      </c>
      <c r="H1" s="51" t="s">
        <v>208</v>
      </c>
      <c r="I1" s="51" t="s">
        <v>209</v>
      </c>
      <c r="J1" s="9" t="s">
        <v>210</v>
      </c>
      <c r="K1" s="9" t="s">
        <v>211</v>
      </c>
      <c r="L1" s="9" t="s">
        <v>212</v>
      </c>
      <c r="M1" s="9" t="s">
        <v>213</v>
      </c>
    </row>
    <row r="2">
      <c r="A2" s="52" t="s">
        <v>1013</v>
      </c>
      <c r="B2" s="26" t="s">
        <v>133</v>
      </c>
      <c r="C2" s="43" t="s">
        <v>390</v>
      </c>
      <c r="D2" s="26" t="s">
        <v>1014</v>
      </c>
      <c r="E2" s="26" t="s">
        <v>1015</v>
      </c>
      <c r="F2" s="26" t="s">
        <v>1016</v>
      </c>
      <c r="G2" s="26" t="s">
        <v>1017</v>
      </c>
      <c r="H2" s="50" t="str">
        <f>VLOOKUP(A2,'Manus All Chiaia'!$A$1:$I$70,9,0)&amp;", Italy"</f>
        <v>Via Alabardieri 38, 80121 Naples, Italy</v>
      </c>
      <c r="I2" s="50" t="str">
        <f>IFERROR(__xludf.DUMMYFUNCTION("JOIN("", "",J2,K2)"),"40.837, 14.2468")</f>
        <v>40.837, 14.2468</v>
      </c>
      <c r="J2" s="25">
        <f>VLOOKUP($A2,'Manus All Chiaia'!$A$1:$K$70,10,0)</f>
        <v>40.837</v>
      </c>
      <c r="K2" s="25">
        <f>VLOOKUP($A2,'Manus All Chiaia'!$A$1:$K$70,11,0)</f>
        <v>14.2468</v>
      </c>
      <c r="L2" s="29" t="str">
        <f t="shared" ref="L2:L40" si="1">HYPERLINK("https://www.google.com/maps/search/"&amp;ENCODEURL(A2&amp;", Naples"))</f>
        <v>https://www.google.com/maps/search/Palazzo%20Alabardieri%2C%20Naples</v>
      </c>
      <c r="M2" s="6" t="s">
        <v>2126</v>
      </c>
    </row>
    <row r="3">
      <c r="A3" s="52" t="s">
        <v>1020</v>
      </c>
      <c r="B3" s="26" t="s">
        <v>133</v>
      </c>
      <c r="C3" s="43" t="s">
        <v>390</v>
      </c>
      <c r="D3" s="26" t="s">
        <v>1021</v>
      </c>
      <c r="E3" s="26" t="s">
        <v>1022</v>
      </c>
      <c r="F3" s="26" t="s">
        <v>1016</v>
      </c>
      <c r="G3" s="26" t="s">
        <v>1023</v>
      </c>
      <c r="H3" s="50" t="str">
        <f>VLOOKUP(A3,'Manus All Chiaia'!$A$1:$I$70,9,0)&amp;", Italy"</f>
        <v>Via Poerio 25, 80121 Naples, Italy</v>
      </c>
      <c r="I3" s="50" t="str">
        <f>IFERROR(__xludf.DUMMYFUNCTION("JOIN("", "",J3,K3)"),"40.8355, 14.2445")</f>
        <v>40.8355, 14.2445</v>
      </c>
      <c r="J3" s="25">
        <f>VLOOKUP($A3,'Manus All Chiaia'!$A$1:$K$70,10,0)</f>
        <v>40.8355</v>
      </c>
      <c r="K3" s="25">
        <f>VLOOKUP($A3,'Manus All Chiaia'!$A$1:$K$70,11,0)</f>
        <v>14.2445</v>
      </c>
      <c r="L3" s="29" t="str">
        <f t="shared" si="1"/>
        <v>https://www.google.com/maps/search/Hotel%20Poerio%2025%20Boutique%20Stay%2C%20Naples</v>
      </c>
      <c r="M3" s="6" t="s">
        <v>2127</v>
      </c>
    </row>
    <row r="4">
      <c r="A4" s="52" t="s">
        <v>1024</v>
      </c>
      <c r="B4" s="26" t="s">
        <v>133</v>
      </c>
      <c r="C4" s="43" t="s">
        <v>390</v>
      </c>
      <c r="D4" s="26" t="s">
        <v>1025</v>
      </c>
      <c r="E4" s="26" t="s">
        <v>1026</v>
      </c>
      <c r="F4" s="26" t="s">
        <v>1016</v>
      </c>
      <c r="G4" s="26" t="s">
        <v>1027</v>
      </c>
      <c r="H4" s="50" t="str">
        <f>VLOOKUP(A4,'Manus All Chiaia'!$A$1:$I$70,9,0)&amp;", Italy"</f>
        <v>Via Chiaia, Naples, Italy</v>
      </c>
      <c r="I4" s="50" t="str">
        <f>IFERROR(__xludf.DUMMYFUNCTION("JOIN("", "",J4,K4)"),"40.838, 14.247")</f>
        <v>40.838, 14.247</v>
      </c>
      <c r="J4" s="25">
        <f>VLOOKUP($A4,'Manus All Chiaia'!$A$1:$K$70,10,0)</f>
        <v>40.838</v>
      </c>
      <c r="K4" s="25">
        <f>VLOOKUP($A4,'Manus All Chiaia'!$A$1:$K$70,11,0)</f>
        <v>14.247</v>
      </c>
      <c r="L4" s="29" t="str">
        <f t="shared" si="1"/>
        <v>https://www.google.com/maps/search/Prestige%20Rooms%20Chiaia%2C%20Naples</v>
      </c>
      <c r="M4" s="6" t="s">
        <v>2128</v>
      </c>
    </row>
    <row r="5">
      <c r="A5" s="52" t="s">
        <v>1028</v>
      </c>
      <c r="B5" s="26" t="s">
        <v>133</v>
      </c>
      <c r="C5" s="43" t="s">
        <v>390</v>
      </c>
      <c r="D5" s="26" t="s">
        <v>1029</v>
      </c>
      <c r="E5" s="26" t="s">
        <v>1030</v>
      </c>
      <c r="F5" s="26" t="s">
        <v>1016</v>
      </c>
      <c r="G5" s="26" t="s">
        <v>1031</v>
      </c>
      <c r="H5" s="50" t="str">
        <f>VLOOKUP(A5,'Manus All Chiaia'!$A$1:$I$70,9,0)&amp;", Italy"</f>
        <v>Via Chiaia area, Naples, Italy</v>
      </c>
      <c r="I5" s="50" t="str">
        <f>IFERROR(__xludf.DUMMYFUNCTION("JOIN("", "",J5,K5)"),"40.838, 14.247")</f>
        <v>40.838, 14.247</v>
      </c>
      <c r="J5" s="25">
        <f>VLOOKUP($A5,'Manus All Chiaia'!$A$1:$K$70,10,0)</f>
        <v>40.838</v>
      </c>
      <c r="K5" s="25">
        <f>VLOOKUP($A5,'Manus All Chiaia'!$A$1:$K$70,11,0)</f>
        <v>14.247</v>
      </c>
      <c r="L5" s="29" t="str">
        <f t="shared" si="1"/>
        <v>https://www.google.com/maps/search/Il%20Salotto%20della%20Regina%2C%20Naples</v>
      </c>
      <c r="M5" s="6" t="s">
        <v>2129</v>
      </c>
    </row>
    <row r="6">
      <c r="A6" s="52" t="s">
        <v>1032</v>
      </c>
      <c r="B6" s="26" t="s">
        <v>133</v>
      </c>
      <c r="C6" s="43" t="s">
        <v>390</v>
      </c>
      <c r="D6" s="26" t="s">
        <v>1033</v>
      </c>
      <c r="E6" s="26" t="s">
        <v>1034</v>
      </c>
      <c r="F6" s="26" t="s">
        <v>1016</v>
      </c>
      <c r="G6" s="26" t="s">
        <v>1035</v>
      </c>
      <c r="H6" s="50" t="str">
        <f>VLOOKUP(A6,'Manus All Chiaia'!$A$1:$I$70,9,0)&amp;", Italy"</f>
        <v>Corso Vittorio Emanuele 135, 80121 Naples, Italy</v>
      </c>
      <c r="I6" s="50" t="str">
        <f>IFERROR(__xludf.DUMMYFUNCTION("JOIN("", "",J6,K6)"),"40.8395, 14.2485")</f>
        <v>40.8395, 14.2485</v>
      </c>
      <c r="J6" s="25">
        <f>VLOOKUP($A6,'Manus All Chiaia'!$A$1:$K$70,10,0)</f>
        <v>40.8395</v>
      </c>
      <c r="K6" s="25">
        <f>VLOOKUP($A6,'Manus All Chiaia'!$A$1:$K$70,11,0)</f>
        <v>14.2485</v>
      </c>
      <c r="L6" s="29" t="str">
        <f t="shared" si="1"/>
        <v>https://www.google.com/maps/search/Grand%20Hotel%20Parker%27s%2C%20Naples</v>
      </c>
      <c r="M6" s="6" t="s">
        <v>2130</v>
      </c>
    </row>
    <row r="7">
      <c r="A7" s="52" t="s">
        <v>1036</v>
      </c>
      <c r="B7" s="26" t="s">
        <v>302</v>
      </c>
      <c r="C7" s="43" t="s">
        <v>291</v>
      </c>
      <c r="D7" s="26" t="s">
        <v>1037</v>
      </c>
      <c r="E7" s="26" t="s">
        <v>1038</v>
      </c>
      <c r="F7" s="26" t="s">
        <v>1039</v>
      </c>
      <c r="G7" s="26" t="s">
        <v>1040</v>
      </c>
      <c r="H7" s="50" t="str">
        <f>VLOOKUP(A7,'Manus All Chiaia'!$A$1:$I$70,9,0)&amp;", Italy"</f>
        <v>Via Partenope 45, Grand Hotel Vesuvio, 80121 Naples, Italy</v>
      </c>
      <c r="I7" s="50" t="str">
        <f>IFERROR(__xludf.DUMMYFUNCTION("JOIN("", "",J7,K7)"),"40.832, 14.252")</f>
        <v>40.832, 14.252</v>
      </c>
      <c r="J7" s="25">
        <f>VLOOKUP($A7,'Manus All Chiaia'!$A$1:$K$70,10,0)</f>
        <v>40.832</v>
      </c>
      <c r="K7" s="25">
        <f>VLOOKUP($A7,'Manus All Chiaia'!$A$1:$K$70,11,0)</f>
        <v>14.252</v>
      </c>
      <c r="L7" s="29" t="str">
        <f t="shared" si="1"/>
        <v>https://www.google.com/maps/search/Caruso%20Roof%20Garden%2C%20Naples</v>
      </c>
      <c r="M7" s="6" t="s">
        <v>2131</v>
      </c>
    </row>
    <row r="8">
      <c r="A8" s="53" t="s">
        <v>1041</v>
      </c>
      <c r="B8" s="26" t="s">
        <v>290</v>
      </c>
      <c r="C8" s="43" t="s">
        <v>291</v>
      </c>
      <c r="D8" s="26" t="s">
        <v>1042</v>
      </c>
      <c r="E8" s="26" t="s">
        <v>1043</v>
      </c>
      <c r="F8" s="26" t="s">
        <v>1044</v>
      </c>
      <c r="G8" s="26" t="s">
        <v>1045</v>
      </c>
      <c r="H8" s="50" t="str">
        <f>VLOOKUP(A8,'Manus All Chiaia'!$A$1:$I$70,9,0)&amp;", Italy"</f>
        <v>Calata Ponticello a Santa Lucia 1E, 80132 Naples, Italy</v>
      </c>
      <c r="I8" s="50" t="str">
        <f>IFERROR(__xludf.DUMMYFUNCTION("JOIN("", "",J8,K8)"),"40.8315, 14.2515")</f>
        <v>40.8315, 14.2515</v>
      </c>
      <c r="J8" s="25">
        <f>VLOOKUP($A8,'Manus All Chiaia'!$A$1:$K$70,10,0)</f>
        <v>40.8315</v>
      </c>
      <c r="K8" s="25">
        <f>VLOOKUP($A8,'Manus All Chiaia'!$A$1:$K$70,11,0)</f>
        <v>14.2515</v>
      </c>
      <c r="L8" s="29" t="str">
        <f t="shared" si="1"/>
        <v>https://www.google.com/maps/search/A%20Fenestella%2C%20Naples</v>
      </c>
      <c r="M8" s="6" t="s">
        <v>2132</v>
      </c>
    </row>
    <row r="9">
      <c r="A9" s="52" t="s">
        <v>1046</v>
      </c>
      <c r="B9" s="26" t="s">
        <v>290</v>
      </c>
      <c r="C9" s="43" t="s">
        <v>291</v>
      </c>
      <c r="D9" s="26" t="s">
        <v>1047</v>
      </c>
      <c r="E9" s="26" t="s">
        <v>1048</v>
      </c>
      <c r="F9" s="26" t="s">
        <v>1049</v>
      </c>
      <c r="G9" s="26" t="s">
        <v>1050</v>
      </c>
      <c r="H9" s="50" t="str">
        <f>VLOOKUP(A9,'Manus All Chiaia'!$A$1:$I$70,9,0)&amp;", Italy"</f>
        <v>Via Cuma 42, 80132 Naples, Italy</v>
      </c>
      <c r="I9" s="50" t="str">
        <f>IFERROR(__xludf.DUMMYFUNCTION("JOIN("", "",J9,K9)"),"40.8325, 14.2525")</f>
        <v>40.8325, 14.2525</v>
      </c>
      <c r="J9" s="25">
        <f>VLOOKUP($A9,'Manus All Chiaia'!$A$1:$K$70,10,0)</f>
        <v>40.8325</v>
      </c>
      <c r="K9" s="25">
        <f>VLOOKUP($A9,'Manus All Chiaia'!$A$1:$K$70,11,0)</f>
        <v>14.2525</v>
      </c>
      <c r="L9" s="29" t="str">
        <f t="shared" si="1"/>
        <v>https://www.google.com/maps/search/La%20Cantinella%2C%20Naples</v>
      </c>
      <c r="M9" s="6" t="s">
        <v>2133</v>
      </c>
    </row>
    <row r="10">
      <c r="A10" s="52" t="s">
        <v>597</v>
      </c>
      <c r="B10" s="26" t="s">
        <v>302</v>
      </c>
      <c r="C10" s="43" t="s">
        <v>291</v>
      </c>
      <c r="D10" s="26" t="s">
        <v>1051</v>
      </c>
      <c r="E10" s="26" t="s">
        <v>1052</v>
      </c>
      <c r="F10" s="26" t="s">
        <v>1053</v>
      </c>
      <c r="G10" s="26" t="s">
        <v>1054</v>
      </c>
      <c r="H10" s="50" t="str">
        <f>VLOOKUP(A10,'Manus All Chiaia'!$A$1:$I$70,9,0)&amp;", Italy"</f>
        <v>Piazza San Domenico Maggiore 4, 80134 Naples, Italy</v>
      </c>
      <c r="I10" s="50" t="str">
        <f>IFERROR(__xludf.DUMMYFUNCTION("JOIN("", "",J10,K10)"),"40.847, 14.255")</f>
        <v>40.847, 14.255</v>
      </c>
      <c r="J10" s="25">
        <f>VLOOKUP($A10,'Manus All Chiaia'!$A$1:$K$70,10,0)</f>
        <v>40.847</v>
      </c>
      <c r="K10" s="25">
        <f>VLOOKUP($A10,'Manus All Chiaia'!$A$1:$K$70,11,0)</f>
        <v>14.255</v>
      </c>
      <c r="L10" s="29" t="str">
        <f t="shared" si="1"/>
        <v>https://www.google.com/maps/search/Palazzo%20Petrucci%2C%20Naples</v>
      </c>
      <c r="M10" s="6" t="s">
        <v>2134</v>
      </c>
    </row>
    <row r="11">
      <c r="A11" s="52" t="s">
        <v>1055</v>
      </c>
      <c r="B11" s="26" t="s">
        <v>290</v>
      </c>
      <c r="C11" s="43" t="s">
        <v>291</v>
      </c>
      <c r="D11" s="26" t="s">
        <v>1056</v>
      </c>
      <c r="E11" s="26" t="s">
        <v>1057</v>
      </c>
      <c r="F11" s="26" t="s">
        <v>1058</v>
      </c>
      <c r="G11" s="26" t="s">
        <v>1059</v>
      </c>
      <c r="H11" s="50" t="str">
        <f>VLOOKUP(A11,'Manus All Chiaia'!$A$1:$I$70,9,0)&amp;", Italy"</f>
        <v>Via Luculliana 15, 80132 Naples, Italy</v>
      </c>
      <c r="I11" s="50" t="str">
        <f>IFERROR(__xludf.DUMMYFUNCTION("JOIN("", "",J11,K11)"),"40.831, 14.251")</f>
        <v>40.831, 14.251</v>
      </c>
      <c r="J11" s="25">
        <f>VLOOKUP($A11,'Manus All Chiaia'!$A$1:$K$70,10,0)</f>
        <v>40.831</v>
      </c>
      <c r="K11" s="25">
        <f>VLOOKUP($A11,'Manus All Chiaia'!$A$1:$K$70,11,0)</f>
        <v>14.251</v>
      </c>
      <c r="L11" s="29" t="str">
        <f t="shared" si="1"/>
        <v>https://www.google.com/maps/search/Transatlantico%20Ristorante%20Suite%2C%20Naples</v>
      </c>
      <c r="M11" s="6" t="s">
        <v>2135</v>
      </c>
    </row>
    <row r="12">
      <c r="A12" s="52" t="s">
        <v>947</v>
      </c>
      <c r="B12" s="26" t="s">
        <v>302</v>
      </c>
      <c r="C12" s="43" t="s">
        <v>521</v>
      </c>
      <c r="D12" s="26" t="s">
        <v>1060</v>
      </c>
      <c r="E12" s="26" t="s">
        <v>1061</v>
      </c>
      <c r="F12" s="26" t="s">
        <v>1058</v>
      </c>
      <c r="G12" s="26" t="s">
        <v>1062</v>
      </c>
      <c r="H12" s="50" t="str">
        <f>VLOOKUP(A12,'Manus All Chiaia'!$A$1:$I$70,9,0)&amp;", Italy"</f>
        <v>Via Giovanni Nicotera 13, 80132 Naples, Italy</v>
      </c>
      <c r="I12" s="50" t="str">
        <f>IFERROR(__xludf.DUMMYFUNCTION("JOIN("", "",J12,K12)"),"40.833, 14.253")</f>
        <v>40.833, 14.253</v>
      </c>
      <c r="J12" s="25">
        <f>VLOOKUP($A12,'Manus All Chiaia'!$A$1:$K$70,10,0)</f>
        <v>40.833</v>
      </c>
      <c r="K12" s="25">
        <f>VLOOKUP($A12,'Manus All Chiaia'!$A$1:$K$70,11,0)</f>
        <v>14.253</v>
      </c>
      <c r="L12" s="29" t="str">
        <f t="shared" si="1"/>
        <v>https://www.google.com/maps/search/Osteria%20della%20Mattonella%2C%20Naples</v>
      </c>
      <c r="M12" s="6" t="s">
        <v>2136</v>
      </c>
    </row>
    <row r="13">
      <c r="A13" s="52" t="s">
        <v>1063</v>
      </c>
      <c r="B13" s="26" t="s">
        <v>290</v>
      </c>
      <c r="C13" s="43" t="s">
        <v>409</v>
      </c>
      <c r="D13" s="26" t="s">
        <v>1064</v>
      </c>
      <c r="E13" s="26" t="s">
        <v>1065</v>
      </c>
      <c r="F13" s="26" t="s">
        <v>1058</v>
      </c>
      <c r="G13" s="26" t="s">
        <v>1066</v>
      </c>
      <c r="H13" s="50" t="str">
        <f>VLOOKUP(A13,'Manus All Chiaia'!$A$1:$I$70,9,0)&amp;", Italy"</f>
        <v>Salita Sant'Anna di Palazzo 1/2, 80132 Naples, Italy</v>
      </c>
      <c r="I13" s="50" t="str">
        <f>IFERROR(__xludf.DUMMYFUNCTION("JOIN("", "",J13,K13)"),"40.834, 14.248")</f>
        <v>40.834, 14.248</v>
      </c>
      <c r="J13" s="25">
        <f>VLOOKUP($A13,'Manus All Chiaia'!$A$1:$K$70,10,0)</f>
        <v>40.834</v>
      </c>
      <c r="K13" s="25">
        <f>VLOOKUP($A13,'Manus All Chiaia'!$A$1:$K$70,11,0)</f>
        <v>14.248</v>
      </c>
      <c r="L13" s="29" t="str">
        <f t="shared" si="1"/>
        <v>https://www.google.com/maps/search/Pizzeria%20Brandi%2C%20Naples</v>
      </c>
      <c r="M13" s="6" t="s">
        <v>2137</v>
      </c>
    </row>
    <row r="14">
      <c r="A14" s="52" t="s">
        <v>1067</v>
      </c>
      <c r="B14" s="26" t="s">
        <v>302</v>
      </c>
      <c r="C14" s="43" t="s">
        <v>605</v>
      </c>
      <c r="D14" s="26" t="s">
        <v>1068</v>
      </c>
      <c r="E14" s="26" t="s">
        <v>1069</v>
      </c>
      <c r="F14" s="26" t="s">
        <v>1039</v>
      </c>
      <c r="G14" s="26" t="s">
        <v>1070</v>
      </c>
      <c r="H14" s="50" t="str">
        <f>VLOOKUP(A14,'Manus All Chiaia'!$A$1:$I$70,9,0)&amp;", Italy"</f>
        <v>Corso Vittorio Emanuele 135, Grand Hotel Parker's, 80121 Naples, Italy</v>
      </c>
      <c r="I14" s="50" t="str">
        <f>IFERROR(__xludf.DUMMYFUNCTION("JOIN("", "",J14,K14)"),"40.8395, 14.2485")</f>
        <v>40.8395, 14.2485</v>
      </c>
      <c r="J14" s="25">
        <f>VLOOKUP($A14,'Manus All Chiaia'!$A$1:$K$70,10,0)</f>
        <v>40.8395</v>
      </c>
      <c r="K14" s="25">
        <f>VLOOKUP($A14,'Manus All Chiaia'!$A$1:$K$70,11,0)</f>
        <v>14.2485</v>
      </c>
      <c r="L14" s="29" t="str">
        <f t="shared" si="1"/>
        <v>https://www.google.com/maps/search/George%20Restaurant%2C%20Naples</v>
      </c>
      <c r="M14" s="6" t="s">
        <v>2138</v>
      </c>
    </row>
    <row r="15">
      <c r="A15" s="52" t="s">
        <v>1071</v>
      </c>
      <c r="B15" s="26" t="s">
        <v>1072</v>
      </c>
      <c r="C15" s="43" t="s">
        <v>543</v>
      </c>
      <c r="D15" s="26" t="s">
        <v>1073</v>
      </c>
      <c r="E15" s="26" t="s">
        <v>1074</v>
      </c>
      <c r="F15" s="26" t="s">
        <v>1039</v>
      </c>
      <c r="G15" s="26" t="s">
        <v>1075</v>
      </c>
      <c r="H15" s="50" t="str">
        <f>VLOOKUP(A15,'Manus All Chiaia'!$A$1:$I$70,9,0)&amp;", Italy"</f>
        <v>Corso Vittorio Emanuele 135, Grand Hotel Parker's, 80121 Naples, Italy</v>
      </c>
      <c r="I15" s="50" t="str">
        <f>IFERROR(__xludf.DUMMYFUNCTION("JOIN("", "",J15,K15)"),"40.8395, 14.2485")</f>
        <v>40.8395, 14.2485</v>
      </c>
      <c r="J15" s="25">
        <f>VLOOKUP($A15,'Manus All Chiaia'!$A$1:$K$70,10,0)</f>
        <v>40.8395</v>
      </c>
      <c r="K15" s="25">
        <f>VLOOKUP($A15,'Manus All Chiaia'!$A$1:$K$70,11,0)</f>
        <v>14.2485</v>
      </c>
      <c r="L15" s="29" t="str">
        <f t="shared" si="1"/>
        <v>https://www.google.com/maps/search/Bidder%20Terrace%2C%20Naples</v>
      </c>
      <c r="M15" s="6" t="s">
        <v>2139</v>
      </c>
    </row>
    <row r="16">
      <c r="A16" s="52" t="s">
        <v>1076</v>
      </c>
      <c r="B16" s="26" t="s">
        <v>1072</v>
      </c>
      <c r="C16" s="43" t="s">
        <v>543</v>
      </c>
      <c r="D16" s="26" t="s">
        <v>1077</v>
      </c>
      <c r="E16" s="26" t="s">
        <v>1078</v>
      </c>
      <c r="F16" s="26" t="s">
        <v>1058</v>
      </c>
      <c r="G16" s="26" t="s">
        <v>1050</v>
      </c>
      <c r="H16" s="50" t="str">
        <f>VLOOKUP(A16,'Manus All Chiaia'!$A$1:$I$70,9,0)&amp;", Italy"</f>
        <v>Via Orazio 10, 80123 Naples, Italy</v>
      </c>
      <c r="I16" s="50" t="str">
        <f>IFERROR(__xludf.DUMMYFUNCTION("JOIN("", "",J16,K16)"),"40.815, 14.218")</f>
        <v>40.815, 14.218</v>
      </c>
      <c r="J16" s="25">
        <f>VLOOKUP($A16,'Manus All Chiaia'!$A$1:$K$70,10,0)</f>
        <v>40.815</v>
      </c>
      <c r="K16" s="25">
        <f>VLOOKUP($A16,'Manus All Chiaia'!$A$1:$K$70,11,0)</f>
        <v>14.218</v>
      </c>
      <c r="L16" s="29" t="str">
        <f t="shared" si="1"/>
        <v>https://www.google.com/maps/search/Riserva%20Rooftop%2C%20Naples</v>
      </c>
      <c r="M16" s="6" t="s">
        <v>2140</v>
      </c>
    </row>
    <row r="17">
      <c r="A17" s="52" t="s">
        <v>554</v>
      </c>
      <c r="B17" s="26" t="s">
        <v>1072</v>
      </c>
      <c r="C17" s="43" t="s">
        <v>543</v>
      </c>
      <c r="D17" s="26" t="s">
        <v>1079</v>
      </c>
      <c r="E17" s="26" t="s">
        <v>1080</v>
      </c>
      <c r="F17" s="26" t="s">
        <v>1058</v>
      </c>
      <c r="G17" s="26" t="s">
        <v>1075</v>
      </c>
      <c r="H17" s="50" t="str">
        <f>VLOOKUP(A17,'Manus All Chiaia'!$A$1:$I$70,9,0)&amp;", Italy"</f>
        <v>Via Cristoforo Colombo 45, 80133 Naples, Italy</v>
      </c>
      <c r="I17" s="50" t="str">
        <f>IFERROR(__xludf.DUMMYFUNCTION("JOIN("", "",J17,K17)"),"40.838, 14.268")</f>
        <v>40.838, 14.268</v>
      </c>
      <c r="J17" s="25">
        <f>VLOOKUP($A17,'Manus All Chiaia'!$A$1:$K$70,10,0)</f>
        <v>40.838</v>
      </c>
      <c r="K17" s="25">
        <f>VLOOKUP($A17,'Manus All Chiaia'!$A$1:$K$70,11,0)</f>
        <v>14.268</v>
      </c>
      <c r="L17" s="29" t="str">
        <f t="shared" si="1"/>
        <v>https://www.google.com/maps/search/Romeo%20Hotel%20Naples%2C%20Naples</v>
      </c>
      <c r="M17" s="6" t="s">
        <v>2141</v>
      </c>
    </row>
    <row r="18">
      <c r="A18" s="52" t="s">
        <v>1081</v>
      </c>
      <c r="B18" s="26" t="s">
        <v>1082</v>
      </c>
      <c r="C18" s="43" t="s">
        <v>1083</v>
      </c>
      <c r="D18" s="26" t="s">
        <v>1084</v>
      </c>
      <c r="E18" s="26" t="s">
        <v>1085</v>
      </c>
      <c r="F18" s="26" t="s">
        <v>1058</v>
      </c>
      <c r="G18" s="26" t="s">
        <v>1086</v>
      </c>
      <c r="H18" s="50" t="str">
        <f>VLOOKUP(A18,'Manus All Chiaia'!$A$1:$I$70,9,0)&amp;", Italy"</f>
        <v>Via Vannella Gaetani 2, 80121 Naples, Italy</v>
      </c>
      <c r="I18" s="50" t="str">
        <f>IFERROR(__xludf.DUMMYFUNCTION("JOIN("", "",J18,K18)"),"40.8365, 14.2455")</f>
        <v>40.8365, 14.2455</v>
      </c>
      <c r="J18" s="25">
        <f>VLOOKUP($A18,'Manus All Chiaia'!$A$1:$K$70,10,0)</f>
        <v>40.8365</v>
      </c>
      <c r="K18" s="25">
        <f>VLOOKUP($A18,'Manus All Chiaia'!$A$1:$K$70,11,0)</f>
        <v>14.2455</v>
      </c>
      <c r="L18" s="29" t="str">
        <f t="shared" si="1"/>
        <v>https://www.google.com/maps/search/L%27Antiquario%2C%20Naples</v>
      </c>
      <c r="M18" s="6" t="s">
        <v>2142</v>
      </c>
    </row>
    <row r="19">
      <c r="A19" s="52" t="s">
        <v>1087</v>
      </c>
      <c r="B19" s="26" t="s">
        <v>1088</v>
      </c>
      <c r="C19" s="43" t="s">
        <v>543</v>
      </c>
      <c r="D19" s="26" t="s">
        <v>1089</v>
      </c>
      <c r="E19" s="26" t="s">
        <v>1090</v>
      </c>
      <c r="F19" s="26" t="s">
        <v>1058</v>
      </c>
      <c r="G19" s="26" t="s">
        <v>1091</v>
      </c>
      <c r="H19" s="50" t="str">
        <f>VLOOKUP(A19,'Manus All Chiaia'!$A$1:$I$70,9,0)&amp;", Italy"</f>
        <v>Via Giuseppe Fiorelli 11, 80121 Naples, Italy</v>
      </c>
      <c r="I19" s="50" t="str">
        <f>IFERROR(__xludf.DUMMYFUNCTION("JOIN("", "",J19,K19)"),"40.8375, 14.2465")</f>
        <v>40.8375, 14.2465</v>
      </c>
      <c r="J19" s="25">
        <f>VLOOKUP($A19,'Manus All Chiaia'!$A$1:$K$70,10,0)</f>
        <v>40.8375</v>
      </c>
      <c r="K19" s="25">
        <f>VLOOKUP($A19,'Manus All Chiaia'!$A$1:$K$70,11,0)</f>
        <v>14.2465</v>
      </c>
      <c r="L19" s="29" t="str">
        <f t="shared" si="1"/>
        <v>https://www.google.com/maps/search/Barril%20Garden%20Bar%2C%20Naples</v>
      </c>
      <c r="M19" s="6" t="s">
        <v>2143</v>
      </c>
    </row>
    <row r="20">
      <c r="A20" s="52" t="s">
        <v>1092</v>
      </c>
      <c r="B20" s="26" t="s">
        <v>1088</v>
      </c>
      <c r="C20" s="43" t="s">
        <v>543</v>
      </c>
      <c r="D20" s="26" t="s">
        <v>1093</v>
      </c>
      <c r="E20" s="26" t="s">
        <v>1094</v>
      </c>
      <c r="F20" s="26" t="s">
        <v>1058</v>
      </c>
      <c r="G20" s="26" t="s">
        <v>1091</v>
      </c>
      <c r="H20" s="50" t="str">
        <f>VLOOKUP(A20,'Manus All Chiaia'!$A$1:$I$70,9,0)&amp;", Italy"</f>
        <v>Via Bisignano 20, 80121 Naples, Italy</v>
      </c>
      <c r="I20" s="50" t="str">
        <f>IFERROR(__xludf.DUMMYFUNCTION("JOIN("", "",J20,K20)"),"40.837, 14.246")</f>
        <v>40.837, 14.246</v>
      </c>
      <c r="J20" s="25">
        <f>VLOOKUP($A20,'Manus All Chiaia'!$A$1:$K$70,10,0)</f>
        <v>40.837</v>
      </c>
      <c r="K20" s="25">
        <f>VLOOKUP($A20,'Manus All Chiaia'!$A$1:$K$70,11,0)</f>
        <v>14.246</v>
      </c>
      <c r="L20" s="29" t="str">
        <f t="shared" si="1"/>
        <v>https://www.google.com/maps/search/Ba-Bar%2C%20Naples</v>
      </c>
      <c r="M20" s="6" t="s">
        <v>2144</v>
      </c>
    </row>
    <row r="21">
      <c r="A21" s="52" t="s">
        <v>1095</v>
      </c>
      <c r="B21" s="26" t="s">
        <v>1088</v>
      </c>
      <c r="C21" s="43" t="s">
        <v>1096</v>
      </c>
      <c r="D21" s="26" t="s">
        <v>1097</v>
      </c>
      <c r="E21" s="26" t="s">
        <v>1098</v>
      </c>
      <c r="F21" s="26" t="s">
        <v>1058</v>
      </c>
      <c r="G21" s="26" t="s">
        <v>1062</v>
      </c>
      <c r="H21" s="50" t="str">
        <f>VLOOKUP(A21,'Manus All Chiaia'!$A$1:$I$70,9,0)&amp;", Italy"</f>
        <v>Via Giuseppe Martucci 30, 80121 Naples, Italy</v>
      </c>
      <c r="I21" s="50" t="str">
        <f>IFERROR(__xludf.DUMMYFUNCTION("JOIN("", "",J21,K21)"),"40.8385, 14.2475")</f>
        <v>40.8385, 14.2475</v>
      </c>
      <c r="J21" s="25">
        <f>VLOOKUP($A21,'Manus All Chiaia'!$A$1:$K$70,10,0)</f>
        <v>40.8385</v>
      </c>
      <c r="K21" s="25">
        <f>VLOOKUP($A21,'Manus All Chiaia'!$A$1:$K$70,11,0)</f>
        <v>14.2475</v>
      </c>
      <c r="L21" s="29" t="str">
        <f t="shared" si="1"/>
        <v>https://www.google.com/maps/search/Swig%20Chiaia%2C%20Naples</v>
      </c>
      <c r="M21" s="6" t="s">
        <v>2145</v>
      </c>
    </row>
    <row r="22">
      <c r="A22" s="52" t="s">
        <v>1099</v>
      </c>
      <c r="B22" s="26" t="s">
        <v>1088</v>
      </c>
      <c r="C22" s="43" t="s">
        <v>247</v>
      </c>
      <c r="D22" s="26" t="s">
        <v>1100</v>
      </c>
      <c r="E22" s="26" t="s">
        <v>1101</v>
      </c>
      <c r="F22" s="26" t="s">
        <v>1058</v>
      </c>
      <c r="G22" s="26" t="s">
        <v>1102</v>
      </c>
      <c r="H22" s="50" t="str">
        <f>VLOOKUP(A22,'Manus All Chiaia'!$A$1:$I$70,9,0)&amp;", Italy"</f>
        <v>Via Chiaia area, Naples, Italy</v>
      </c>
      <c r="I22" s="50" t="str">
        <f>IFERROR(__xludf.DUMMYFUNCTION("JOIN("", "",J22,K22)"),"40.838, 14.247")</f>
        <v>40.838, 14.247</v>
      </c>
      <c r="J22" s="25">
        <f>VLOOKUP($A22,'Manus All Chiaia'!$A$1:$K$70,10,0)</f>
        <v>40.838</v>
      </c>
      <c r="K22" s="25">
        <f>VLOOKUP($A22,'Manus All Chiaia'!$A$1:$K$70,11,0)</f>
        <v>14.247</v>
      </c>
      <c r="L22" s="29" t="str">
        <f t="shared" si="1"/>
        <v>https://www.google.com/maps/search/Twins%20-%20Cocktail%20Wine%20Coffee%2C%20Naples</v>
      </c>
      <c r="M22" s="6" t="s">
        <v>2146</v>
      </c>
    </row>
    <row r="23">
      <c r="A23" s="52" t="s">
        <v>1103</v>
      </c>
      <c r="B23" s="26" t="s">
        <v>1104</v>
      </c>
      <c r="C23" s="43" t="s">
        <v>270</v>
      </c>
      <c r="D23" s="26" t="s">
        <v>1105</v>
      </c>
      <c r="E23" s="26" t="s">
        <v>1106</v>
      </c>
      <c r="F23" s="26" t="s">
        <v>1058</v>
      </c>
      <c r="G23" s="26" t="s">
        <v>1091</v>
      </c>
      <c r="H23" s="50" t="str">
        <f>VLOOKUP(A23,'Manus All Chiaia'!$A$1:$I$70,9,0)&amp;", Italy"</f>
        <v>Vico Belledonne a Chiaia 18, 80121 Naples, Italy</v>
      </c>
      <c r="I23" s="50" t="str">
        <f>IFERROR(__xludf.DUMMYFUNCTION("JOIN("", "",J23,K23)"),"40.8372, 14.2462")</f>
        <v>40.8372, 14.2462</v>
      </c>
      <c r="J23" s="25">
        <f>VLOOKUP($A23,'Manus All Chiaia'!$A$1:$K$70,10,0)</f>
        <v>40.8372</v>
      </c>
      <c r="K23" s="25">
        <f>VLOOKUP($A23,'Manus All Chiaia'!$A$1:$K$70,11,0)</f>
        <v>14.2462</v>
      </c>
      <c r="L23" s="29" t="str">
        <f t="shared" si="1"/>
        <v>https://www.google.com/maps/search/Enoteca%20Belledonne%2C%20Naples</v>
      </c>
      <c r="M23" s="6" t="s">
        <v>2147</v>
      </c>
    </row>
    <row r="24">
      <c r="A24" s="52" t="s">
        <v>1107</v>
      </c>
      <c r="B24" s="26" t="s">
        <v>1088</v>
      </c>
      <c r="C24" s="43" t="s">
        <v>1096</v>
      </c>
      <c r="D24" s="26" t="s">
        <v>1108</v>
      </c>
      <c r="E24" s="26" t="s">
        <v>1109</v>
      </c>
      <c r="F24" s="26" t="s">
        <v>1110</v>
      </c>
      <c r="G24" s="26" t="s">
        <v>1066</v>
      </c>
      <c r="H24" s="50" t="str">
        <f>VLOOKUP(A24,'Manus All Chiaia'!$A$1:$I$70,9,0)&amp;", Italy"</f>
        <v>Vico Belledonne a Chiaia 34-35, 80121 Naples, Italy</v>
      </c>
      <c r="I24" s="50" t="str">
        <f>IFERROR(__xludf.DUMMYFUNCTION("JOIN("", "",J24,K24)"),"40.8372, 14.2462")</f>
        <v>40.8372, 14.2462</v>
      </c>
      <c r="J24" s="25">
        <f>VLOOKUP($A24,'Manus All Chiaia'!$A$1:$K$70,10,0)</f>
        <v>40.8372</v>
      </c>
      <c r="K24" s="25">
        <f>VLOOKUP($A24,'Manus All Chiaia'!$A$1:$K$70,11,0)</f>
        <v>14.2462</v>
      </c>
      <c r="L24" s="29" t="str">
        <f t="shared" si="1"/>
        <v>https://www.google.com/maps/search/Chandelier%2C%20Naples</v>
      </c>
      <c r="M24" s="6" t="s">
        <v>2148</v>
      </c>
    </row>
    <row r="25">
      <c r="A25" s="52" t="s">
        <v>1111</v>
      </c>
      <c r="B25" s="26" t="s">
        <v>542</v>
      </c>
      <c r="C25" s="43" t="s">
        <v>1112</v>
      </c>
      <c r="D25" s="26" t="s">
        <v>1113</v>
      </c>
      <c r="E25" s="26" t="s">
        <v>1114</v>
      </c>
      <c r="F25" s="26" t="s">
        <v>1058</v>
      </c>
      <c r="G25" s="26" t="s">
        <v>1066</v>
      </c>
      <c r="H25" s="50" t="str">
        <f>VLOOKUP(A25,'Manus All Chiaia'!$A$1:$I$70,9,0)&amp;", Italy"</f>
        <v>Via Alabardieri 10, 80121 Naples, Italy</v>
      </c>
      <c r="I25" s="50" t="str">
        <f>IFERROR(__xludf.DUMMYFUNCTION("JOIN("", "",J25,K25)"),"40.837, 14.2468")</f>
        <v>40.837, 14.2468</v>
      </c>
      <c r="J25" s="25">
        <f>VLOOKUP($A25,'Manus All Chiaia'!$A$1:$K$70,10,0)</f>
        <v>40.837</v>
      </c>
      <c r="K25" s="25">
        <f>VLOOKUP($A25,'Manus All Chiaia'!$A$1:$K$70,11,0)</f>
        <v>14.2468</v>
      </c>
      <c r="L25" s="29" t="str">
        <f t="shared" si="1"/>
        <v>https://www.google.com/maps/search/Bluestone%2C%20Naples</v>
      </c>
      <c r="M25" s="6" t="s">
        <v>2149</v>
      </c>
    </row>
    <row r="26">
      <c r="A26" s="52" t="s">
        <v>1115</v>
      </c>
      <c r="B26" s="26" t="s">
        <v>1104</v>
      </c>
      <c r="C26" s="43" t="s">
        <v>270</v>
      </c>
      <c r="D26" s="26" t="s">
        <v>1116</v>
      </c>
      <c r="E26" s="26" t="s">
        <v>1117</v>
      </c>
      <c r="F26" s="26" t="s">
        <v>1058</v>
      </c>
      <c r="G26" s="26" t="s">
        <v>1062</v>
      </c>
      <c r="H26" s="50" t="str">
        <f>VLOOKUP(A26,'Manus All Chiaia'!$A$1:$I$70,9,0)&amp;", Italy"</f>
        <v>Via Chiaia area, Naples, Italy</v>
      </c>
      <c r="I26" s="50" t="str">
        <f>IFERROR(__xludf.DUMMYFUNCTION("JOIN("", "",J26,K26)"),"40.838, 14.247")</f>
        <v>40.838, 14.247</v>
      </c>
      <c r="J26" s="25">
        <f>VLOOKUP($A26,'Manus All Chiaia'!$A$1:$K$70,10,0)</f>
        <v>40.838</v>
      </c>
      <c r="K26" s="25">
        <f>VLOOKUP($A26,'Manus All Chiaia'!$A$1:$K$70,11,0)</f>
        <v>14.247</v>
      </c>
      <c r="L26" s="29" t="str">
        <f t="shared" si="1"/>
        <v>https://www.google.com/maps/search/Cap%27Alice%2C%20Naples</v>
      </c>
      <c r="M26" s="6" t="s">
        <v>2150</v>
      </c>
    </row>
    <row r="27">
      <c r="A27" s="52" t="s">
        <v>1118</v>
      </c>
      <c r="B27" s="26" t="s">
        <v>1119</v>
      </c>
      <c r="C27" s="43" t="s">
        <v>222</v>
      </c>
      <c r="D27" s="26" t="s">
        <v>1120</v>
      </c>
      <c r="E27" s="26" t="s">
        <v>1121</v>
      </c>
      <c r="F27" s="26" t="s">
        <v>1122</v>
      </c>
      <c r="G27" s="26" t="s">
        <v>1123</v>
      </c>
      <c r="H27" s="50" t="str">
        <f>VLOOKUP(A27,'Manus All Chiaia'!$A$1:$I$70,9,0)&amp;", Italy"</f>
        <v>Via Giosuè Carducci 43, 80121 Naples, Italy</v>
      </c>
      <c r="I27" s="50" t="str">
        <f>IFERROR(__xludf.DUMMYFUNCTION("JOIN("", "",J27,K27)"),"40.836, 14.245")</f>
        <v>40.836, 14.245</v>
      </c>
      <c r="J27" s="25">
        <f>VLOOKUP($A27,'Manus All Chiaia'!$A$1:$K$70,10,0)</f>
        <v>40.836</v>
      </c>
      <c r="K27" s="25">
        <f>VLOOKUP($A27,'Manus All Chiaia'!$A$1:$K$70,11,0)</f>
        <v>14.245</v>
      </c>
      <c r="L27" s="29" t="str">
        <f t="shared" si="1"/>
        <v>https://www.google.com/maps/search/Mennella%20Il%20Gelato%2C%20Naples</v>
      </c>
      <c r="M27" s="6" t="s">
        <v>2151</v>
      </c>
    </row>
    <row r="28">
      <c r="A28" s="52" t="s">
        <v>1124</v>
      </c>
      <c r="B28" s="26" t="s">
        <v>1119</v>
      </c>
      <c r="C28" s="43" t="s">
        <v>222</v>
      </c>
      <c r="D28" s="26" t="s">
        <v>1125</v>
      </c>
      <c r="E28" s="26" t="s">
        <v>1126</v>
      </c>
      <c r="F28" s="26" t="s">
        <v>1058</v>
      </c>
      <c r="G28" s="26" t="s">
        <v>1123</v>
      </c>
      <c r="H28" s="50" t="str">
        <f>VLOOKUP(A28,'Manus All Chiaia'!$A$1:$I$70,9,0)&amp;", Italy"</f>
        <v>Via Benedetto Croce 61, 80134 Naples, Italy</v>
      </c>
      <c r="I28" s="50" t="str">
        <f>IFERROR(__xludf.DUMMYFUNCTION("JOIN("", "",J28,K28)"),"40.8485, 14.2565")</f>
        <v>40.8485, 14.2565</v>
      </c>
      <c r="J28" s="25">
        <f>VLOOKUP($A28,'Manus All Chiaia'!$A$1:$K$70,10,0)</f>
        <v>40.8485</v>
      </c>
      <c r="K28" s="25">
        <f>VLOOKUP($A28,'Manus All Chiaia'!$A$1:$K$70,11,0)</f>
        <v>14.2565</v>
      </c>
      <c r="L28" s="29" t="str">
        <f t="shared" si="1"/>
        <v>https://www.google.com/maps/search/Gay-Odin%2C%20Naples</v>
      </c>
      <c r="M28" s="6" t="s">
        <v>2152</v>
      </c>
    </row>
    <row r="29">
      <c r="A29" s="52" t="s">
        <v>1127</v>
      </c>
      <c r="B29" s="26" t="s">
        <v>1119</v>
      </c>
      <c r="C29" s="43" t="s">
        <v>222</v>
      </c>
      <c r="D29" s="26" t="s">
        <v>1128</v>
      </c>
      <c r="E29" s="26" t="s">
        <v>1129</v>
      </c>
      <c r="F29" s="26" t="s">
        <v>1058</v>
      </c>
      <c r="G29" s="26" t="s">
        <v>1123</v>
      </c>
      <c r="H29" s="50" t="str">
        <f>VLOOKUP(A29,'Manus All Chiaia'!$A$1:$I$70,9,0)&amp;", Italy"</f>
        <v>Multiple locations in Naples, Italy</v>
      </c>
      <c r="I29" s="50" t="str">
        <f>IFERROR(__xludf.DUMMYFUNCTION("JOIN("", "",J29,K29)"),"40.852, 14.268")</f>
        <v>40.852, 14.268</v>
      </c>
      <c r="J29" s="25">
        <f>VLOOKUP($A29,'Manus All Chiaia'!$A$1:$K$70,10,0)</f>
        <v>40.852</v>
      </c>
      <c r="K29" s="25">
        <f>VLOOKUP($A29,'Manus All Chiaia'!$A$1:$K$70,11,0)</f>
        <v>14.268</v>
      </c>
      <c r="L29" s="29" t="str">
        <f t="shared" si="1"/>
        <v>https://www.google.com/maps/search/Casa%20Infante%2C%20Naples</v>
      </c>
      <c r="M29" s="6" t="s">
        <v>2153</v>
      </c>
    </row>
    <row r="30">
      <c r="A30" s="52" t="s">
        <v>1130</v>
      </c>
      <c r="B30" s="26" t="s">
        <v>1119</v>
      </c>
      <c r="C30" s="43" t="s">
        <v>222</v>
      </c>
      <c r="D30" s="26" t="s">
        <v>1131</v>
      </c>
      <c r="E30" s="26" t="s">
        <v>1132</v>
      </c>
      <c r="F30" s="26" t="s">
        <v>1058</v>
      </c>
      <c r="G30" s="26" t="s">
        <v>1123</v>
      </c>
      <c r="H30" s="50" t="str">
        <f>VLOOKUP(A30,'Manus All Chiaia'!$A$1:$I$70,9,0)&amp;", Italy"</f>
        <v>Via Chiaia area, Naples, Italy</v>
      </c>
      <c r="I30" s="50" t="str">
        <f>IFERROR(__xludf.DUMMYFUNCTION("JOIN("", "",J30,K30)"),"40.838, 14.247")</f>
        <v>40.838, 14.247</v>
      </c>
      <c r="J30" s="25">
        <f>VLOOKUP($A30,'Manus All Chiaia'!$A$1:$K$70,10,0)</f>
        <v>40.838</v>
      </c>
      <c r="K30" s="25">
        <f>VLOOKUP($A30,'Manus All Chiaia'!$A$1:$K$70,11,0)</f>
        <v>14.247</v>
      </c>
      <c r="L30" s="29" t="str">
        <f t="shared" si="1"/>
        <v>https://www.google.com/maps/search/Il%20Gelatiere%2C%20Naples</v>
      </c>
      <c r="M30" s="6" t="s">
        <v>2154</v>
      </c>
    </row>
    <row r="31">
      <c r="A31" s="52" t="s">
        <v>1133</v>
      </c>
      <c r="B31" s="26" t="s">
        <v>1134</v>
      </c>
      <c r="C31" s="43" t="s">
        <v>1135</v>
      </c>
      <c r="D31" s="26" t="s">
        <v>1136</v>
      </c>
      <c r="E31" s="26" t="s">
        <v>1137</v>
      </c>
      <c r="F31" s="26" t="s">
        <v>1138</v>
      </c>
      <c r="G31" s="26" t="s">
        <v>1139</v>
      </c>
      <c r="H31" s="50" t="str">
        <f>VLOOKUP(A31,'Manus All Chiaia'!$A$1:$I$70,9,0)&amp;", Italy"</f>
        <v>Via Caracciolo, 80121 Naples, Italy</v>
      </c>
      <c r="I31" s="50" t="str">
        <f>IFERROR(__xludf.DUMMYFUNCTION("JOIN("", "",J31,K31)"),"40.832, 14.248")</f>
        <v>40.832, 14.248</v>
      </c>
      <c r="J31" s="25">
        <f>VLOOKUP($A31,'Manus All Chiaia'!$A$1:$K$70,10,0)</f>
        <v>40.832</v>
      </c>
      <c r="K31" s="25">
        <f>VLOOKUP($A31,'Manus All Chiaia'!$A$1:$K$70,11,0)</f>
        <v>14.248</v>
      </c>
      <c r="L31" s="29" t="str">
        <f t="shared" si="1"/>
        <v>https://www.google.com/maps/search/Villa%20Comunale%2C%20Naples</v>
      </c>
      <c r="M31" s="6" t="s">
        <v>2155</v>
      </c>
    </row>
    <row r="32">
      <c r="A32" s="52" t="s">
        <v>1140</v>
      </c>
      <c r="B32" s="26" t="s">
        <v>1141</v>
      </c>
      <c r="C32" s="43" t="s">
        <v>1142</v>
      </c>
      <c r="D32" s="26" t="s">
        <v>1143</v>
      </c>
      <c r="E32" s="26" t="s">
        <v>1144</v>
      </c>
      <c r="F32" s="26" t="s">
        <v>1058</v>
      </c>
      <c r="G32" s="26" t="s">
        <v>1145</v>
      </c>
      <c r="H32" s="50" t="str">
        <f>VLOOKUP(A32,'Manus All Chiaia'!$A$1:$I$70,9,0)&amp;", Italy"</f>
        <v>Villa Comunale, Via Caracciolo, 80121 Naples, Italy</v>
      </c>
      <c r="I32" s="50" t="str">
        <f>IFERROR(__xludf.DUMMYFUNCTION("JOIN("", "",J32,K32)"),"40.832, 14.248")</f>
        <v>40.832, 14.248</v>
      </c>
      <c r="J32" s="25">
        <f>VLOOKUP($A32,'Manus All Chiaia'!$A$1:$K$70,10,0)</f>
        <v>40.832</v>
      </c>
      <c r="K32" s="25">
        <f>VLOOKUP($A32,'Manus All Chiaia'!$A$1:$K$70,11,0)</f>
        <v>14.248</v>
      </c>
      <c r="L32" s="29" t="str">
        <f t="shared" si="1"/>
        <v>https://www.google.com/maps/search/Anton%20Dohrn%20Aquarium%2C%20Naples</v>
      </c>
      <c r="M32" s="6" t="s">
        <v>2156</v>
      </c>
    </row>
    <row r="33">
      <c r="A33" s="52" t="s">
        <v>1146</v>
      </c>
      <c r="B33" s="26" t="s">
        <v>632</v>
      </c>
      <c r="C33" s="43" t="s">
        <v>470</v>
      </c>
      <c r="D33" s="26" t="s">
        <v>1147</v>
      </c>
      <c r="E33" s="50"/>
      <c r="F33" s="26" t="s">
        <v>1058</v>
      </c>
      <c r="G33" s="26" t="s">
        <v>1148</v>
      </c>
      <c r="H33" s="50" t="str">
        <f>VLOOKUP(A33,'Manus All Chiaia'!$A$1:$I$70,9,0)&amp;", Italy"</f>
        <v>Riviera di Chiaia 200, 80121 Naples, Italy</v>
      </c>
      <c r="I33" s="50" t="str">
        <f>IFERROR(__xludf.DUMMYFUNCTION("JOIN("", "",J33,K33)"),"40.831, 14.247")</f>
        <v>40.831, 14.247</v>
      </c>
      <c r="J33" s="25">
        <f>VLOOKUP($A33,'Manus All Chiaia'!$A$1:$K$70,10,0)</f>
        <v>40.831</v>
      </c>
      <c r="K33" s="25">
        <f>VLOOKUP($A33,'Manus All Chiaia'!$A$1:$K$70,11,0)</f>
        <v>14.247</v>
      </c>
      <c r="L33" s="29" t="str">
        <f t="shared" si="1"/>
        <v>https://www.google.com/maps/search/Villa%20Pignatelli%2C%20Naples</v>
      </c>
      <c r="M33" s="6" t="s">
        <v>2157</v>
      </c>
    </row>
    <row r="34">
      <c r="A34" s="52" t="s">
        <v>1149</v>
      </c>
      <c r="B34" s="26" t="s">
        <v>632</v>
      </c>
      <c r="C34" s="43" t="s">
        <v>579</v>
      </c>
      <c r="D34" s="26" t="s">
        <v>1150</v>
      </c>
      <c r="E34" s="26" t="s">
        <v>1151</v>
      </c>
      <c r="F34" s="26" t="s">
        <v>1152</v>
      </c>
      <c r="G34" s="26" t="s">
        <v>1153</v>
      </c>
      <c r="H34" s="50" t="str">
        <f>VLOOKUP(A34,'Manus All Chiaia'!$A$1:$I$70,9,0)&amp;", Italy"</f>
        <v>Riviera di Chiaia 200, 80121 Naples, Italy</v>
      </c>
      <c r="I34" s="50" t="str">
        <f>IFERROR(__xludf.DUMMYFUNCTION("JOIN("", "",J34,K34)"),"40.831, 14.247")</f>
        <v>40.831, 14.247</v>
      </c>
      <c r="J34" s="25">
        <f>VLOOKUP($A34,'Manus All Chiaia'!$A$1:$K$70,10,0)</f>
        <v>40.831</v>
      </c>
      <c r="K34" s="25">
        <f>VLOOKUP($A34,'Manus All Chiaia'!$A$1:$K$70,11,0)</f>
        <v>14.247</v>
      </c>
      <c r="L34" s="29" t="str">
        <f t="shared" si="1"/>
        <v>https://www.google.com/maps/search/Museum%20D%27Aragona%20Pignatelli%20Cortes%2C%20Naples</v>
      </c>
      <c r="M34" s="6" t="s">
        <v>2158</v>
      </c>
    </row>
    <row r="35">
      <c r="A35" s="52" t="s">
        <v>1154</v>
      </c>
      <c r="B35" s="26" t="s">
        <v>632</v>
      </c>
      <c r="C35" s="43" t="s">
        <v>579</v>
      </c>
      <c r="D35" s="26" t="s">
        <v>1155</v>
      </c>
      <c r="E35" s="26" t="s">
        <v>1156</v>
      </c>
      <c r="F35" s="26" t="s">
        <v>1058</v>
      </c>
      <c r="G35" s="26" t="s">
        <v>1157</v>
      </c>
      <c r="H35" s="50" t="str">
        <f>VLOOKUP(A35,'Manus All Chiaia'!$A$1:$I$70,9,0)&amp;", Italy"</f>
        <v>Riviera di Chiaia 200, Villa Pignatelli, 80121 Naples, Italy</v>
      </c>
      <c r="I35" s="50" t="str">
        <f>IFERROR(__xludf.DUMMYFUNCTION("JOIN("", "",J35,K35)"),"40.831, 14.247")</f>
        <v>40.831, 14.247</v>
      </c>
      <c r="J35" s="25">
        <f>VLOOKUP($A35,'Manus All Chiaia'!$A$1:$K$70,10,0)</f>
        <v>40.831</v>
      </c>
      <c r="K35" s="25">
        <f>VLOOKUP($A35,'Manus All Chiaia'!$A$1:$K$70,11,0)</f>
        <v>14.247</v>
      </c>
      <c r="L35" s="29" t="str">
        <f t="shared" si="1"/>
        <v>https://www.google.com/maps/search/Museum%20Marchese%20Mario%20d%27Alessandro%2C%20Naples</v>
      </c>
      <c r="M35" s="6" t="s">
        <v>2159</v>
      </c>
    </row>
    <row r="36">
      <c r="A36" s="52" t="s">
        <v>1158</v>
      </c>
      <c r="B36" s="26" t="s">
        <v>941</v>
      </c>
      <c r="C36" s="43" t="s">
        <v>1009</v>
      </c>
      <c r="D36" s="26" t="s">
        <v>1159</v>
      </c>
      <c r="E36" s="26" t="s">
        <v>1160</v>
      </c>
      <c r="F36" s="26" t="s">
        <v>1058</v>
      </c>
      <c r="G36" s="26" t="s">
        <v>1161</v>
      </c>
      <c r="H36" s="50" t="str">
        <f>VLOOKUP(A36,'Manus All Chiaia'!$A$1:$I$70,9,0)&amp;", Italy"</f>
        <v>Via Toledo, 80134 Naples, Italy</v>
      </c>
      <c r="I36" s="50" t="str">
        <f>IFERROR(__xludf.DUMMYFUNCTION("JOIN("", "",J36,K36)"),"40.8485, 14.2565")</f>
        <v>40.8485, 14.2565</v>
      </c>
      <c r="J36" s="25">
        <f>VLOOKUP($A36,'Manus All Chiaia'!$A$1:$K$70,10,0)</f>
        <v>40.8485</v>
      </c>
      <c r="K36" s="25">
        <f>VLOOKUP($A36,'Manus All Chiaia'!$A$1:$K$70,11,0)</f>
        <v>14.2565</v>
      </c>
      <c r="L36" s="29" t="str">
        <f t="shared" si="1"/>
        <v>https://www.google.com/maps/search/Funicolare%20Centrale%2C%20Naples</v>
      </c>
      <c r="M36" s="6" t="s">
        <v>2160</v>
      </c>
    </row>
    <row r="37">
      <c r="A37" s="52" t="s">
        <v>1162</v>
      </c>
      <c r="B37" s="26" t="s">
        <v>1163</v>
      </c>
      <c r="C37" s="43" t="s">
        <v>1164</v>
      </c>
      <c r="D37" s="26" t="s">
        <v>1165</v>
      </c>
      <c r="E37" s="26" t="s">
        <v>1166</v>
      </c>
      <c r="F37" s="26" t="s">
        <v>1167</v>
      </c>
      <c r="G37" s="26" t="s">
        <v>1139</v>
      </c>
      <c r="H37" s="50" t="str">
        <f>VLOOKUP(A37,'Manus All Chiaia'!$A$1:$I$70,9,0)&amp;", Italy"</f>
        <v>Via Caracciolo, 80121 Naples, Italy</v>
      </c>
      <c r="I37" s="50" t="str">
        <f>IFERROR(__xludf.DUMMYFUNCTION("JOIN("", "",J37,K37)"),"40.832, 14.248")</f>
        <v>40.832, 14.248</v>
      </c>
      <c r="J37" s="25">
        <f>VLOOKUP($A37,'Manus All Chiaia'!$A$1:$K$70,10,0)</f>
        <v>40.832</v>
      </c>
      <c r="K37" s="25">
        <f>VLOOKUP($A37,'Manus All Chiaia'!$A$1:$K$70,11,0)</f>
        <v>14.248</v>
      </c>
      <c r="L37" s="29" t="str">
        <f t="shared" si="1"/>
        <v>https://www.google.com/maps/search/Lungomare%20Caracciolo%2C%20Naples</v>
      </c>
      <c r="M37" s="6" t="s">
        <v>2161</v>
      </c>
    </row>
    <row r="38">
      <c r="A38" s="52" t="s">
        <v>1168</v>
      </c>
      <c r="B38" s="26" t="s">
        <v>656</v>
      </c>
      <c r="C38" s="43" t="s">
        <v>657</v>
      </c>
      <c r="D38" s="26" t="s">
        <v>1169</v>
      </c>
      <c r="E38" s="26" t="s">
        <v>1170</v>
      </c>
      <c r="F38" s="26" t="s">
        <v>1171</v>
      </c>
      <c r="G38" s="26" t="s">
        <v>1172</v>
      </c>
      <c r="H38" s="50" t="str">
        <f>VLOOKUP(A38,'Manus All Chiaia'!$A$1:$I$70,9,0)&amp;", Italy"</f>
        <v>Via Chiaia, 80121 Naples, Italy</v>
      </c>
      <c r="I38" s="50" t="str">
        <f>IFERROR(__xludf.DUMMYFUNCTION("JOIN("", "",J38,K38)"),"40.838, 14.247")</f>
        <v>40.838, 14.247</v>
      </c>
      <c r="J38" s="25">
        <f>VLOOKUP($A38,'Manus All Chiaia'!$A$1:$K$70,10,0)</f>
        <v>40.838</v>
      </c>
      <c r="K38" s="25">
        <f>VLOOKUP($A38,'Manus All Chiaia'!$A$1:$K$70,11,0)</f>
        <v>14.247</v>
      </c>
      <c r="L38" s="29" t="str">
        <f t="shared" si="1"/>
        <v>https://www.google.com/maps/search/Via%20Chiaia%2C%20Naples</v>
      </c>
      <c r="M38" s="6" t="s">
        <v>2162</v>
      </c>
    </row>
    <row r="39">
      <c r="A39" s="52" t="s">
        <v>1173</v>
      </c>
      <c r="B39" s="26" t="s">
        <v>1174</v>
      </c>
      <c r="C39" s="43" t="s">
        <v>657</v>
      </c>
      <c r="D39" s="26" t="s">
        <v>1175</v>
      </c>
      <c r="E39" s="26" t="s">
        <v>1176</v>
      </c>
      <c r="F39" s="26" t="s">
        <v>1058</v>
      </c>
      <c r="G39" s="26" t="s">
        <v>1177</v>
      </c>
      <c r="H39" s="50" t="str">
        <f>VLOOKUP(A39,'Manus All Chiaia'!$A$1:$I$70,9,0)&amp;", Italy"</f>
        <v>Via Chiaia 149/A, 80121 Naples, Italy</v>
      </c>
      <c r="I39" s="50" t="str">
        <f>IFERROR(__xludf.DUMMYFUNCTION("JOIN("", "",J39,K39)"),"40.8385, 14.2475")</f>
        <v>40.8385, 14.2475</v>
      </c>
      <c r="J39" s="25">
        <f>VLOOKUP($A39,'Manus All Chiaia'!$A$1:$K$70,10,0)</f>
        <v>40.8385</v>
      </c>
      <c r="K39" s="25">
        <f>VLOOKUP($A39,'Manus All Chiaia'!$A$1:$K$70,11,0)</f>
        <v>14.2475</v>
      </c>
      <c r="L39" s="29" t="str">
        <f t="shared" si="1"/>
        <v>https://www.google.com/maps/search/Rubinacci%2C%20Naples</v>
      </c>
      <c r="M39" s="6" t="s">
        <v>2163</v>
      </c>
    </row>
    <row r="40">
      <c r="A40" s="52" t="s">
        <v>1178</v>
      </c>
      <c r="B40" s="26" t="s">
        <v>1174</v>
      </c>
      <c r="C40" s="43" t="s">
        <v>657</v>
      </c>
      <c r="D40" s="26" t="s">
        <v>1179</v>
      </c>
      <c r="E40" s="26" t="s">
        <v>1180</v>
      </c>
      <c r="F40" s="26" t="s">
        <v>1058</v>
      </c>
      <c r="G40" s="26" t="s">
        <v>1181</v>
      </c>
      <c r="H40" s="50" t="str">
        <f>VLOOKUP(A40,'Manus All Chiaia'!$A$1:$I$70,9,0)&amp;", Italy"</f>
        <v>Via Chiaia area, Naples, Italy</v>
      </c>
      <c r="I40" s="50" t="str">
        <f>IFERROR(__xludf.DUMMYFUNCTION("JOIN("", "",J40,K40)"),"40.838, 14.247")</f>
        <v>40.838, 14.247</v>
      </c>
      <c r="J40" s="25">
        <f>VLOOKUP($A40,'Manus All Chiaia'!$A$1:$K$70,10,0)</f>
        <v>40.838</v>
      </c>
      <c r="K40" s="25">
        <f>VLOOKUP($A40,'Manus All Chiaia'!$A$1:$K$70,11,0)</f>
        <v>14.247</v>
      </c>
      <c r="L40" s="29" t="str">
        <f t="shared" si="1"/>
        <v>https://www.google.com/maps/search/Gemelli%20da%20Polsi%2C%20Naples</v>
      </c>
      <c r="M40" s="6" t="s">
        <v>2164</v>
      </c>
    </row>
  </sheetData>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38"/>
    <hyperlink r:id="rId38" ref="M39"/>
    <hyperlink r:id="rId39" ref="M40"/>
  </hyperlinks>
  <drawing r:id="rId40"/>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 customWidth="1" min="2" max="2" width="15.25"/>
  </cols>
  <sheetData>
    <row r="1">
      <c r="A1" s="54" t="s">
        <v>200</v>
      </c>
      <c r="B1" s="20" t="s">
        <v>202</v>
      </c>
      <c r="C1" s="20" t="s">
        <v>203</v>
      </c>
      <c r="D1" s="20" t="s">
        <v>204</v>
      </c>
      <c r="E1" s="20" t="s">
        <v>205</v>
      </c>
      <c r="F1" s="20" t="s">
        <v>206</v>
      </c>
      <c r="G1" s="20" t="s">
        <v>2060</v>
      </c>
      <c r="H1" s="51" t="s">
        <v>208</v>
      </c>
      <c r="I1" s="51" t="s">
        <v>209</v>
      </c>
      <c r="J1" s="9" t="s">
        <v>210</v>
      </c>
      <c r="K1" s="9" t="s">
        <v>211</v>
      </c>
      <c r="L1" s="9" t="s">
        <v>212</v>
      </c>
      <c r="M1" s="9" t="s">
        <v>213</v>
      </c>
    </row>
    <row r="2">
      <c r="A2" s="52" t="s">
        <v>1182</v>
      </c>
      <c r="B2" s="26" t="s">
        <v>246</v>
      </c>
      <c r="C2" s="43" t="s">
        <v>247</v>
      </c>
      <c r="D2" s="26" t="s">
        <v>1183</v>
      </c>
      <c r="E2" s="26" t="s">
        <v>1184</v>
      </c>
      <c r="F2" s="26" t="s">
        <v>1185</v>
      </c>
      <c r="G2" s="26" t="s">
        <v>1145</v>
      </c>
      <c r="H2" s="50" t="s">
        <v>1186</v>
      </c>
      <c r="I2" s="50" t="s">
        <v>1187</v>
      </c>
      <c r="J2" s="9">
        <v>40.8352328</v>
      </c>
      <c r="K2" s="9">
        <v>14.2388971</v>
      </c>
      <c r="L2" s="29" t="str">
        <f t="shared" ref="L2:L35" si="1">HYPERLINK("https://www.google.com/maps/search/"&amp;ENCODEURL(A2&amp;", Naples, Italy"))</f>
        <v>https://www.google.com/maps/search/Birdy%27s%20Bakery%2C%20Naples%2C%20Italy</v>
      </c>
      <c r="M2" s="6" t="s">
        <v>2165</v>
      </c>
    </row>
    <row r="3">
      <c r="A3" s="52" t="s">
        <v>1189</v>
      </c>
      <c r="B3" s="26" t="s">
        <v>246</v>
      </c>
      <c r="C3" s="43" t="s">
        <v>247</v>
      </c>
      <c r="D3" s="26" t="s">
        <v>1190</v>
      </c>
      <c r="E3" s="26" t="s">
        <v>1191</v>
      </c>
      <c r="F3" s="26" t="s">
        <v>1058</v>
      </c>
      <c r="G3" s="26" t="s">
        <v>1192</v>
      </c>
      <c r="H3" s="50" t="s">
        <v>1193</v>
      </c>
      <c r="I3" s="50" t="s">
        <v>1194</v>
      </c>
      <c r="J3" s="9">
        <v>40.8403652</v>
      </c>
      <c r="K3" s="9">
        <v>14.2434381</v>
      </c>
      <c r="L3" s="29" t="str">
        <f t="shared" si="1"/>
        <v>https://www.google.com/maps/search/Caff%C3%A8%20Sansone%2C%20Naples%2C%20Italy</v>
      </c>
      <c r="M3" s="6" t="s">
        <v>2166</v>
      </c>
    </row>
    <row r="4">
      <c r="A4" s="52" t="s">
        <v>1195</v>
      </c>
      <c r="B4" s="26" t="s">
        <v>246</v>
      </c>
      <c r="C4" s="43" t="s">
        <v>247</v>
      </c>
      <c r="D4" s="26" t="s">
        <v>1196</v>
      </c>
      <c r="E4" s="26" t="s">
        <v>1197</v>
      </c>
      <c r="F4" s="26" t="s">
        <v>1058</v>
      </c>
      <c r="G4" s="26" t="s">
        <v>1153</v>
      </c>
      <c r="H4" s="50" t="s">
        <v>1198</v>
      </c>
      <c r="I4" s="50" t="s">
        <v>1199</v>
      </c>
      <c r="J4" s="9">
        <v>40.8368152</v>
      </c>
      <c r="K4" s="9">
        <v>14.2346448</v>
      </c>
      <c r="L4" s="29" t="str">
        <f t="shared" si="1"/>
        <v>https://www.google.com/maps/search/Blue%20Turtle%20Caffeteria%2C%20Naples%2C%20Italy</v>
      </c>
      <c r="M4" s="6" t="s">
        <v>2167</v>
      </c>
    </row>
    <row r="5">
      <c r="A5" s="52" t="s">
        <v>1200</v>
      </c>
      <c r="B5" s="26" t="s">
        <v>246</v>
      </c>
      <c r="C5" s="43" t="s">
        <v>625</v>
      </c>
      <c r="D5" s="26" t="s">
        <v>1201</v>
      </c>
      <c r="E5" s="26" t="s">
        <v>1202</v>
      </c>
      <c r="F5" s="26" t="s">
        <v>1058</v>
      </c>
      <c r="G5" s="26" t="s">
        <v>1157</v>
      </c>
      <c r="H5" s="50" t="s">
        <v>1203</v>
      </c>
      <c r="I5" s="50" t="s">
        <v>1204</v>
      </c>
      <c r="J5" s="9">
        <v>40.8364836</v>
      </c>
      <c r="K5" s="9">
        <v>14.2371015</v>
      </c>
      <c r="L5" s="29" t="str">
        <f t="shared" si="1"/>
        <v>https://www.google.com/maps/search/Pasticceria%20Mennella%2C%20Naples%2C%20Italy</v>
      </c>
      <c r="M5" s="6" t="s">
        <v>2168</v>
      </c>
    </row>
    <row r="6">
      <c r="A6" s="52" t="s">
        <v>1205</v>
      </c>
      <c r="B6" s="26" t="s">
        <v>246</v>
      </c>
      <c r="C6" s="43" t="s">
        <v>1206</v>
      </c>
      <c r="D6" s="26" t="s">
        <v>1207</v>
      </c>
      <c r="E6" s="26" t="s">
        <v>1208</v>
      </c>
      <c r="F6" s="26" t="s">
        <v>1058</v>
      </c>
      <c r="G6" s="26" t="s">
        <v>1123</v>
      </c>
      <c r="H6" s="50" t="s">
        <v>567</v>
      </c>
      <c r="I6" s="50" t="s">
        <v>568</v>
      </c>
      <c r="J6" s="9">
        <v>40.8517746</v>
      </c>
      <c r="K6" s="9">
        <v>14.2681244</v>
      </c>
      <c r="L6" s="29" t="str">
        <f t="shared" si="1"/>
        <v>https://www.google.com/maps/search/La%20Feltrinelli%20Bookstore%20Cafe%2C%20Naples%2C%20Italy</v>
      </c>
      <c r="M6" s="6" t="s">
        <v>2169</v>
      </c>
    </row>
    <row r="7">
      <c r="A7" s="52" t="s">
        <v>1209</v>
      </c>
      <c r="B7" s="26" t="s">
        <v>1210</v>
      </c>
      <c r="C7" s="43" t="s">
        <v>409</v>
      </c>
      <c r="D7" s="26" t="s">
        <v>1211</v>
      </c>
      <c r="E7" s="26" t="s">
        <v>1212</v>
      </c>
      <c r="F7" s="26" t="s">
        <v>1058</v>
      </c>
      <c r="G7" s="26" t="s">
        <v>1213</v>
      </c>
      <c r="H7" s="50" t="s">
        <v>1214</v>
      </c>
      <c r="I7" s="50" t="s">
        <v>1215</v>
      </c>
      <c r="J7" s="9">
        <v>40.8283749</v>
      </c>
      <c r="K7" s="9">
        <v>14.2202568</v>
      </c>
      <c r="L7" s="29" t="str">
        <f t="shared" si="1"/>
        <v>https://www.google.com/maps/search/50%20Kal%C3%B3%2C%20Naples%2C%20Italy</v>
      </c>
      <c r="M7" s="6" t="s">
        <v>2170</v>
      </c>
    </row>
    <row r="8">
      <c r="A8" s="52" t="s">
        <v>1217</v>
      </c>
      <c r="B8" s="26" t="s">
        <v>1210</v>
      </c>
      <c r="C8" s="43" t="s">
        <v>409</v>
      </c>
      <c r="D8" s="26" t="s">
        <v>1218</v>
      </c>
      <c r="E8" s="26" t="s">
        <v>1219</v>
      </c>
      <c r="F8" s="26" t="s">
        <v>1058</v>
      </c>
      <c r="G8" s="26" t="s">
        <v>1145</v>
      </c>
      <c r="H8" s="50" t="s">
        <v>1220</v>
      </c>
      <c r="I8" s="50" t="s">
        <v>1221</v>
      </c>
      <c r="J8" s="9">
        <v>40.8360475</v>
      </c>
      <c r="K8" s="9">
        <v>14.2452463</v>
      </c>
      <c r="L8" s="29" t="str">
        <f t="shared" si="1"/>
        <v>https://www.google.com/maps/search/Pizzeria%20Donna%20Sofia%20a%20Chiaia%2C%20Naples%2C%20Italy</v>
      </c>
      <c r="M8" s="6" t="s">
        <v>2171</v>
      </c>
    </row>
    <row r="9">
      <c r="A9" s="52" t="s">
        <v>1222</v>
      </c>
      <c r="B9" s="26" t="s">
        <v>1210</v>
      </c>
      <c r="C9" s="43" t="s">
        <v>409</v>
      </c>
      <c r="D9" s="26" t="s">
        <v>1223</v>
      </c>
      <c r="E9" s="26" t="s">
        <v>1224</v>
      </c>
      <c r="F9" s="26" t="s">
        <v>1058</v>
      </c>
      <c r="G9" s="26" t="s">
        <v>1225</v>
      </c>
      <c r="H9" s="50" t="s">
        <v>1226</v>
      </c>
      <c r="I9" s="50" t="s">
        <v>1227</v>
      </c>
      <c r="J9" s="9">
        <v>40.83663</v>
      </c>
      <c r="K9" s="9">
        <v>14.2132139</v>
      </c>
      <c r="L9" s="29" t="str">
        <f t="shared" si="1"/>
        <v>https://www.google.com/maps/search/Mama%20Eat%20-%20Napoli%2C%20Naples%2C%20Italy</v>
      </c>
      <c r="M9" s="6" t="s">
        <v>2172</v>
      </c>
    </row>
    <row r="10">
      <c r="A10" s="52" t="s">
        <v>1228</v>
      </c>
      <c r="B10" s="26" t="s">
        <v>1210</v>
      </c>
      <c r="C10" s="43" t="s">
        <v>409</v>
      </c>
      <c r="D10" s="26" t="s">
        <v>1229</v>
      </c>
      <c r="E10" s="26" t="s">
        <v>1230</v>
      </c>
      <c r="F10" s="26" t="s">
        <v>1058</v>
      </c>
      <c r="G10" s="26" t="s">
        <v>1231</v>
      </c>
      <c r="H10" s="50" t="s">
        <v>1232</v>
      </c>
      <c r="I10" s="50" t="s">
        <v>1233</v>
      </c>
      <c r="J10" s="9">
        <v>40.8353744</v>
      </c>
      <c r="K10" s="9">
        <v>14.2112749</v>
      </c>
      <c r="L10" s="29" t="str">
        <f t="shared" si="1"/>
        <v>https://www.google.com/maps/search/Pizzeria%20Gaetano%20Genovesi%2C%20Naples%2C%20Italy</v>
      </c>
      <c r="M10" s="6" t="s">
        <v>2173</v>
      </c>
    </row>
    <row r="11">
      <c r="A11" s="52" t="s">
        <v>1234</v>
      </c>
      <c r="B11" s="26" t="s">
        <v>408</v>
      </c>
      <c r="C11" s="43" t="s">
        <v>521</v>
      </c>
      <c r="D11" s="26" t="s">
        <v>1235</v>
      </c>
      <c r="E11" s="26" t="s">
        <v>1236</v>
      </c>
      <c r="F11" s="26" t="s">
        <v>1058</v>
      </c>
      <c r="G11" s="26" t="s">
        <v>1237</v>
      </c>
      <c r="H11" s="50" t="s">
        <v>1238</v>
      </c>
      <c r="I11" s="50" t="s">
        <v>1239</v>
      </c>
      <c r="J11" s="9">
        <v>40.8585895</v>
      </c>
      <c r="K11" s="9">
        <v>14.2607189</v>
      </c>
      <c r="L11" s="29" t="str">
        <f t="shared" si="1"/>
        <v>https://www.google.com/maps/search/Umberto%2C%20Naples%2C%20Italy</v>
      </c>
      <c r="M11" s="6" t="s">
        <v>2174</v>
      </c>
    </row>
    <row r="12">
      <c r="A12" s="52" t="s">
        <v>1240</v>
      </c>
      <c r="B12" s="26" t="s">
        <v>1104</v>
      </c>
      <c r="C12" s="43" t="s">
        <v>270</v>
      </c>
      <c r="D12" s="26" t="s">
        <v>1241</v>
      </c>
      <c r="E12" s="26" t="s">
        <v>1242</v>
      </c>
      <c r="F12" s="26" t="s">
        <v>1058</v>
      </c>
      <c r="G12" s="26" t="s">
        <v>1243</v>
      </c>
      <c r="H12" s="50" t="s">
        <v>1244</v>
      </c>
      <c r="I12" s="50" t="s">
        <v>1245</v>
      </c>
      <c r="J12" s="9">
        <v>40.8458993</v>
      </c>
      <c r="K12" s="9">
        <v>14.2557424</v>
      </c>
      <c r="L12" s="29" t="str">
        <f t="shared" si="1"/>
        <v>https://www.google.com/maps/search/Kest%C3%A8%2C%20Naples%2C%20Italy</v>
      </c>
      <c r="M12" s="6" t="s">
        <v>2175</v>
      </c>
    </row>
    <row r="13">
      <c r="A13" s="52" t="s">
        <v>1246</v>
      </c>
      <c r="B13" s="26" t="s">
        <v>1104</v>
      </c>
      <c r="C13" s="43" t="s">
        <v>270</v>
      </c>
      <c r="D13" s="26" t="s">
        <v>1247</v>
      </c>
      <c r="E13" s="26" t="s">
        <v>1248</v>
      </c>
      <c r="F13" s="26" t="s">
        <v>1058</v>
      </c>
      <c r="G13" s="26" t="s">
        <v>1237</v>
      </c>
      <c r="H13" s="50" t="s">
        <v>1249</v>
      </c>
      <c r="I13" s="50" t="s">
        <v>1250</v>
      </c>
      <c r="J13" s="9">
        <v>40.8489422</v>
      </c>
      <c r="K13" s="9">
        <v>14.2523447</v>
      </c>
      <c r="L13" s="29" t="str">
        <f t="shared" si="1"/>
        <v>https://www.google.com/maps/search/Vineria%20San%20Sebastiano%2C%20Naples%2C%20Italy</v>
      </c>
      <c r="M13" s="6" t="s">
        <v>2176</v>
      </c>
    </row>
    <row r="14">
      <c r="A14" s="52" t="s">
        <v>1251</v>
      </c>
      <c r="B14" s="26" t="s">
        <v>1104</v>
      </c>
      <c r="C14" s="43" t="s">
        <v>270</v>
      </c>
      <c r="D14" s="26" t="s">
        <v>1252</v>
      </c>
      <c r="E14" s="26" t="s">
        <v>1253</v>
      </c>
      <c r="F14" s="26" t="s">
        <v>1058</v>
      </c>
      <c r="G14" s="26" t="s">
        <v>1243</v>
      </c>
      <c r="H14" s="50" t="s">
        <v>1254</v>
      </c>
      <c r="I14" s="50" t="s">
        <v>1255</v>
      </c>
      <c r="J14" s="9">
        <v>40.8380594</v>
      </c>
      <c r="K14" s="9">
        <v>14.2480586</v>
      </c>
      <c r="L14" s="29" t="str">
        <f t="shared" si="1"/>
        <v>https://www.google.com/maps/search/Spuzzul%C3%A8%20Wine%2C%20Naples%2C%20Italy</v>
      </c>
      <c r="M14" s="6" t="s">
        <v>2177</v>
      </c>
    </row>
    <row r="15">
      <c r="A15" s="52" t="s">
        <v>1256</v>
      </c>
      <c r="B15" s="26" t="s">
        <v>1088</v>
      </c>
      <c r="C15" s="43" t="s">
        <v>1096</v>
      </c>
      <c r="D15" s="26" t="s">
        <v>1257</v>
      </c>
      <c r="E15" s="26" t="s">
        <v>1258</v>
      </c>
      <c r="F15" s="26" t="s">
        <v>1058</v>
      </c>
      <c r="G15" s="26" t="s">
        <v>1237</v>
      </c>
      <c r="H15" s="50" t="s">
        <v>1259</v>
      </c>
      <c r="I15" s="50" t="s">
        <v>1260</v>
      </c>
      <c r="J15" s="9">
        <v>40.8474023</v>
      </c>
      <c r="K15" s="9">
        <v>14.2557165</v>
      </c>
      <c r="L15" s="29" t="str">
        <f t="shared" si="1"/>
        <v>https://www.google.com/maps/search/Archeobar%20-%20Negroneria%20Napoletana%2C%20Naples%2C%20Italy</v>
      </c>
      <c r="M15" s="6" t="s">
        <v>2178</v>
      </c>
    </row>
    <row r="16">
      <c r="A16" s="52" t="s">
        <v>1261</v>
      </c>
      <c r="B16" s="26" t="s">
        <v>1104</v>
      </c>
      <c r="C16" s="43" t="s">
        <v>270</v>
      </c>
      <c r="D16" s="26" t="s">
        <v>1262</v>
      </c>
      <c r="E16" s="26" t="s">
        <v>1263</v>
      </c>
      <c r="F16" s="26" t="s">
        <v>1058</v>
      </c>
      <c r="G16" s="26" t="s">
        <v>1264</v>
      </c>
      <c r="H16" s="50" t="s">
        <v>1265</v>
      </c>
      <c r="I16" s="50" t="s">
        <v>1266</v>
      </c>
      <c r="J16" s="9">
        <v>40.839339</v>
      </c>
      <c r="K16" s="9">
        <v>14.2479643</v>
      </c>
      <c r="L16" s="29" t="str">
        <f t="shared" si="1"/>
        <v>https://www.google.com/maps/search/Wine%20Boat%20Wine%20Bar%2C%20Naples%2C%20Italy</v>
      </c>
      <c r="M16" s="6" t="s">
        <v>2179</v>
      </c>
    </row>
    <row r="17">
      <c r="A17" s="52" t="s">
        <v>1267</v>
      </c>
      <c r="B17" s="26" t="s">
        <v>1174</v>
      </c>
      <c r="C17" s="43" t="s">
        <v>1268</v>
      </c>
      <c r="D17" s="26" t="s">
        <v>1269</v>
      </c>
      <c r="E17" s="26" t="s">
        <v>1270</v>
      </c>
      <c r="F17" s="26" t="s">
        <v>1058</v>
      </c>
      <c r="G17" s="26" t="s">
        <v>1172</v>
      </c>
      <c r="H17" s="50" t="s">
        <v>1271</v>
      </c>
      <c r="I17" s="50" t="s">
        <v>1272</v>
      </c>
      <c r="J17" s="9">
        <v>40.833196</v>
      </c>
      <c r="K17" s="9">
        <v>14.240801</v>
      </c>
      <c r="L17" s="29" t="str">
        <f t="shared" si="1"/>
        <v>https://www.google.com/maps/search/Marinella%2C%20Naples%2C%20Italy</v>
      </c>
      <c r="M17" s="6" t="s">
        <v>2180</v>
      </c>
    </row>
    <row r="18">
      <c r="A18" s="52" t="s">
        <v>1273</v>
      </c>
      <c r="B18" s="26" t="s">
        <v>1174</v>
      </c>
      <c r="C18" s="43" t="s">
        <v>1274</v>
      </c>
      <c r="D18" s="26" t="s">
        <v>1275</v>
      </c>
      <c r="E18" s="26" t="s">
        <v>1276</v>
      </c>
      <c r="F18" s="26" t="s">
        <v>1058</v>
      </c>
      <c r="G18" s="26" t="s">
        <v>1277</v>
      </c>
      <c r="H18" s="50" t="s">
        <v>1278</v>
      </c>
      <c r="I18" s="50" t="s">
        <v>1279</v>
      </c>
      <c r="J18" s="9">
        <v>40.8379655</v>
      </c>
      <c r="K18" s="9">
        <v>14.2474107</v>
      </c>
      <c r="L18" s="29" t="str">
        <f t="shared" si="1"/>
        <v>https://www.google.com/maps/search/Scaramanzia%2C%20Naples%2C%20Italy</v>
      </c>
      <c r="M18" s="6" t="s">
        <v>2181</v>
      </c>
    </row>
    <row r="19">
      <c r="A19" s="52" t="s">
        <v>1280</v>
      </c>
      <c r="B19" s="26" t="s">
        <v>1174</v>
      </c>
      <c r="C19" s="43" t="s">
        <v>1281</v>
      </c>
      <c r="D19" s="26" t="s">
        <v>1282</v>
      </c>
      <c r="E19" s="26" t="s">
        <v>1283</v>
      </c>
      <c r="F19" s="26" t="s">
        <v>1058</v>
      </c>
      <c r="G19" s="26" t="s">
        <v>1284</v>
      </c>
      <c r="H19" s="50" t="s">
        <v>567</v>
      </c>
      <c r="I19" s="50" t="s">
        <v>568</v>
      </c>
      <c r="J19" s="9">
        <v>40.8517746</v>
      </c>
      <c r="K19" s="9">
        <v>14.2681244</v>
      </c>
      <c r="L19" s="29" t="str">
        <f t="shared" si="1"/>
        <v>https://www.google.com/maps/search/Otisopse%2C%20Naples%2C%20Italy</v>
      </c>
      <c r="M19" s="6" t="s">
        <v>2182</v>
      </c>
    </row>
    <row r="20">
      <c r="A20" s="52" t="s">
        <v>1285</v>
      </c>
      <c r="B20" s="26" t="s">
        <v>1286</v>
      </c>
      <c r="C20" s="43" t="s">
        <v>1287</v>
      </c>
      <c r="D20" s="26" t="s">
        <v>1288</v>
      </c>
      <c r="E20" s="26" t="s">
        <v>1289</v>
      </c>
      <c r="F20" s="26" t="s">
        <v>1058</v>
      </c>
      <c r="G20" s="26" t="s">
        <v>1290</v>
      </c>
      <c r="H20" s="50" t="s">
        <v>1291</v>
      </c>
      <c r="I20" s="50" t="s">
        <v>1292</v>
      </c>
      <c r="J20" s="9">
        <v>40.8339263</v>
      </c>
      <c r="K20" s="9">
        <v>14.2370494</v>
      </c>
      <c r="L20" s="29" t="str">
        <f t="shared" si="1"/>
        <v>https://www.google.com/maps/search/Antichita%20e%20Restauro%20Lepre%20dal%201959%2C%20Naples%2C%20Italy</v>
      </c>
      <c r="M20" s="6" t="s">
        <v>2183</v>
      </c>
    </row>
    <row r="21">
      <c r="A21" s="52" t="s">
        <v>1293</v>
      </c>
      <c r="B21" s="26" t="s">
        <v>1119</v>
      </c>
      <c r="C21" s="43" t="s">
        <v>222</v>
      </c>
      <c r="D21" s="26" t="s">
        <v>1294</v>
      </c>
      <c r="E21" s="26" t="s">
        <v>1295</v>
      </c>
      <c r="F21" s="26" t="s">
        <v>1058</v>
      </c>
      <c r="G21" s="26" t="s">
        <v>1123</v>
      </c>
      <c r="H21" s="50" t="s">
        <v>1296</v>
      </c>
      <c r="I21" s="50" t="s">
        <v>1297</v>
      </c>
      <c r="J21" s="9">
        <v>40.831707</v>
      </c>
      <c r="K21" s="9">
        <v>14.2288138</v>
      </c>
      <c r="L21" s="29" t="str">
        <f t="shared" si="1"/>
        <v>https://www.google.com/maps/search/Chalet%20Ciro%201952%2C%20Naples%2C%20Italy</v>
      </c>
      <c r="M21" s="6" t="s">
        <v>2184</v>
      </c>
    </row>
    <row r="22">
      <c r="A22" s="52" t="s">
        <v>1298</v>
      </c>
      <c r="B22" s="26" t="s">
        <v>1119</v>
      </c>
      <c r="C22" s="43" t="s">
        <v>222</v>
      </c>
      <c r="D22" s="26" t="s">
        <v>1299</v>
      </c>
      <c r="E22" s="26" t="s">
        <v>1300</v>
      </c>
      <c r="F22" s="26" t="s">
        <v>1058</v>
      </c>
      <c r="G22" s="26" t="s">
        <v>1123</v>
      </c>
      <c r="H22" s="50" t="s">
        <v>1301</v>
      </c>
      <c r="I22" s="50" t="s">
        <v>1302</v>
      </c>
      <c r="J22" s="9">
        <v>40.8508104</v>
      </c>
      <c r="K22" s="9">
        <v>14.2565817</v>
      </c>
      <c r="L22" s="29" t="str">
        <f t="shared" si="1"/>
        <v>https://www.google.com/maps/search/Gelateria%20Valenti%2C%20Naples%2C%20Italy</v>
      </c>
      <c r="M22" s="6" t="s">
        <v>2185</v>
      </c>
    </row>
    <row r="23">
      <c r="A23" s="52" t="s">
        <v>1303</v>
      </c>
      <c r="B23" s="26" t="s">
        <v>1119</v>
      </c>
      <c r="C23" s="43" t="s">
        <v>222</v>
      </c>
      <c r="D23" s="26" t="s">
        <v>1304</v>
      </c>
      <c r="E23" s="26" t="s">
        <v>1305</v>
      </c>
      <c r="F23" s="26" t="s">
        <v>1058</v>
      </c>
      <c r="G23" s="26" t="s">
        <v>1123</v>
      </c>
      <c r="H23" s="50" t="s">
        <v>1306</v>
      </c>
      <c r="I23" s="50" t="s">
        <v>1307</v>
      </c>
      <c r="J23" s="9">
        <v>40.8271202</v>
      </c>
      <c r="K23" s="9">
        <v>14.2051601</v>
      </c>
      <c r="L23" s="29" t="str">
        <f t="shared" si="1"/>
        <v>https://www.google.com/maps/search/Fantasia%20Gelati%2C%20Naples%2C%20Italy</v>
      </c>
      <c r="M23" s="6" t="s">
        <v>2186</v>
      </c>
    </row>
    <row r="24">
      <c r="A24" s="52" t="s">
        <v>1308</v>
      </c>
      <c r="B24" s="26" t="s">
        <v>1309</v>
      </c>
      <c r="C24" s="43" t="s">
        <v>1310</v>
      </c>
      <c r="D24" s="26" t="s">
        <v>1311</v>
      </c>
      <c r="E24" s="26" t="s">
        <v>1312</v>
      </c>
      <c r="F24" s="26" t="s">
        <v>1058</v>
      </c>
      <c r="G24" s="26" t="s">
        <v>1237</v>
      </c>
      <c r="H24" s="50" t="s">
        <v>1313</v>
      </c>
      <c r="I24" s="50" t="s">
        <v>1314</v>
      </c>
      <c r="J24" s="9">
        <v>40.8898201</v>
      </c>
      <c r="K24" s="9">
        <v>14.263994</v>
      </c>
      <c r="L24" s="29" t="str">
        <f t="shared" si="1"/>
        <v>https://www.google.com/maps/search/La%20Prosciutteria%2C%20Naples%2C%20Italy</v>
      </c>
      <c r="M24" s="6" t="s">
        <v>2187</v>
      </c>
    </row>
    <row r="25">
      <c r="A25" s="52" t="s">
        <v>1315</v>
      </c>
      <c r="B25" s="26" t="s">
        <v>246</v>
      </c>
      <c r="C25" s="43" t="s">
        <v>247</v>
      </c>
      <c r="D25" s="26" t="s">
        <v>1316</v>
      </c>
      <c r="E25" s="26" t="s">
        <v>1317</v>
      </c>
      <c r="F25" s="26" t="s">
        <v>1058</v>
      </c>
      <c r="G25" s="26" t="s">
        <v>1225</v>
      </c>
      <c r="H25" s="50" t="s">
        <v>1318</v>
      </c>
      <c r="I25" s="50" t="s">
        <v>1319</v>
      </c>
      <c r="J25" s="9">
        <v>40.8445035</v>
      </c>
      <c r="K25" s="9">
        <v>14.2488753</v>
      </c>
      <c r="L25" s="29" t="str">
        <f t="shared" si="1"/>
        <v>https://www.google.com/maps/search/Ceraldi%20Caff%C3%A8%2C%20Naples%2C%20Italy</v>
      </c>
      <c r="M25" s="6" t="s">
        <v>2188</v>
      </c>
    </row>
    <row r="26">
      <c r="A26" s="52" t="s">
        <v>1320</v>
      </c>
      <c r="B26" s="26" t="s">
        <v>1104</v>
      </c>
      <c r="C26" s="43" t="s">
        <v>270</v>
      </c>
      <c r="D26" s="26" t="s">
        <v>1321</v>
      </c>
      <c r="E26" s="26" t="s">
        <v>1322</v>
      </c>
      <c r="F26" s="26" t="s">
        <v>1058</v>
      </c>
      <c r="G26" s="26" t="s">
        <v>1243</v>
      </c>
      <c r="H26" s="50" t="s">
        <v>567</v>
      </c>
      <c r="I26" s="50" t="s">
        <v>568</v>
      </c>
      <c r="J26" s="9">
        <v>40.8517746</v>
      </c>
      <c r="K26" s="9">
        <v>14.2681244</v>
      </c>
      <c r="L26" s="29" t="str">
        <f t="shared" si="1"/>
        <v>https://www.google.com/maps/search/Red%20Wine%2C%20Naples%2C%20Italy</v>
      </c>
      <c r="M26" s="6" t="s">
        <v>2189</v>
      </c>
    </row>
    <row r="27">
      <c r="A27" s="52" t="s">
        <v>1323</v>
      </c>
      <c r="B27" s="26" t="s">
        <v>1088</v>
      </c>
      <c r="C27" s="43" t="s">
        <v>1096</v>
      </c>
      <c r="D27" s="26" t="s">
        <v>1324</v>
      </c>
      <c r="E27" s="26" t="s">
        <v>1325</v>
      </c>
      <c r="F27" s="26" t="s">
        <v>1058</v>
      </c>
      <c r="G27" s="26" t="s">
        <v>1326</v>
      </c>
      <c r="H27" s="50" t="s">
        <v>1327</v>
      </c>
      <c r="I27" s="50" t="s">
        <v>1328</v>
      </c>
      <c r="J27" s="9">
        <v>40.8326246</v>
      </c>
      <c r="K27" s="9">
        <v>14.2488009</v>
      </c>
      <c r="L27" s="29" t="str">
        <f t="shared" si="1"/>
        <v>https://www.google.com/maps/search/Grand%20Tour%20-%20Cocktail%20Boutique%2C%20Naples%2C%20Italy</v>
      </c>
      <c r="M27" s="6" t="s">
        <v>2190</v>
      </c>
    </row>
    <row r="28">
      <c r="A28" s="52" t="s">
        <v>1329</v>
      </c>
      <c r="B28" s="26" t="s">
        <v>624</v>
      </c>
      <c r="C28" s="43" t="s">
        <v>1330</v>
      </c>
      <c r="D28" s="26" t="s">
        <v>1331</v>
      </c>
      <c r="E28" s="26" t="s">
        <v>1332</v>
      </c>
      <c r="F28" s="26" t="s">
        <v>1058</v>
      </c>
      <c r="G28" s="26" t="s">
        <v>1123</v>
      </c>
      <c r="H28" s="50" t="s">
        <v>1333</v>
      </c>
      <c r="I28" s="50" t="s">
        <v>1334</v>
      </c>
      <c r="J28" s="9">
        <v>40.8491576</v>
      </c>
      <c r="K28" s="9">
        <v>14.2574492</v>
      </c>
      <c r="L28" s="29" t="str">
        <f t="shared" si="1"/>
        <v>https://www.google.com/maps/search/Buona%20Merenda%2C%20Naples%2C%20Italy</v>
      </c>
      <c r="M28" s="6" t="s">
        <v>2191</v>
      </c>
    </row>
    <row r="29">
      <c r="A29" s="52" t="s">
        <v>1335</v>
      </c>
      <c r="B29" s="26" t="s">
        <v>624</v>
      </c>
      <c r="C29" s="43" t="s">
        <v>1330</v>
      </c>
      <c r="D29" s="26" t="s">
        <v>1336</v>
      </c>
      <c r="E29" s="26" t="s">
        <v>1337</v>
      </c>
      <c r="F29" s="26" t="s">
        <v>1058</v>
      </c>
      <c r="G29" s="26" t="s">
        <v>1338</v>
      </c>
      <c r="H29" s="50" t="s">
        <v>1339</v>
      </c>
      <c r="I29" s="50" t="s">
        <v>1340</v>
      </c>
      <c r="J29" s="9">
        <v>40.8261269</v>
      </c>
      <c r="K29" s="9">
        <v>14.2203751</v>
      </c>
      <c r="L29" s="29" t="str">
        <f t="shared" si="1"/>
        <v>https://www.google.com/maps/search/Chalet%20Delle%20Palme%2C%20Naples%2C%20Italy</v>
      </c>
      <c r="M29" s="6" t="s">
        <v>2192</v>
      </c>
    </row>
    <row r="30">
      <c r="A30" s="52" t="s">
        <v>1341</v>
      </c>
      <c r="B30" s="26" t="s">
        <v>1342</v>
      </c>
      <c r="C30" s="43" t="s">
        <v>1206</v>
      </c>
      <c r="D30" s="26" t="s">
        <v>1343</v>
      </c>
      <c r="E30" s="26" t="s">
        <v>1344</v>
      </c>
      <c r="F30" s="26" t="s">
        <v>1058</v>
      </c>
      <c r="G30" s="26" t="s">
        <v>1145</v>
      </c>
      <c r="H30" s="50" t="s">
        <v>1345</v>
      </c>
      <c r="I30" s="50" t="s">
        <v>1346</v>
      </c>
      <c r="J30" s="9">
        <v>40.8494919</v>
      </c>
      <c r="K30" s="9">
        <v>14.2508104</v>
      </c>
      <c r="L30" s="29" t="str">
        <f t="shared" si="1"/>
        <v>https://www.google.com/maps/search/Libreria%20Berisio%2C%20Naples%2C%20Italy</v>
      </c>
      <c r="M30" s="6" t="s">
        <v>2193</v>
      </c>
    </row>
    <row r="31">
      <c r="A31" s="52" t="s">
        <v>1347</v>
      </c>
      <c r="B31" s="26" t="s">
        <v>1348</v>
      </c>
      <c r="C31" s="43" t="s">
        <v>1349</v>
      </c>
      <c r="D31" s="26" t="s">
        <v>1350</v>
      </c>
      <c r="E31" s="26" t="s">
        <v>1351</v>
      </c>
      <c r="F31" s="26" t="s">
        <v>1058</v>
      </c>
      <c r="G31" s="26" t="s">
        <v>1352</v>
      </c>
      <c r="H31" s="50" t="s">
        <v>1353</v>
      </c>
      <c r="I31" s="50" t="s">
        <v>1354</v>
      </c>
      <c r="J31" s="9">
        <v>40.8341841</v>
      </c>
      <c r="K31" s="9">
        <v>14.2363668</v>
      </c>
      <c r="L31" s="29" t="str">
        <f t="shared" si="1"/>
        <v>https://www.google.com/maps/search/Bancarelle%20di%20San%20Pasquale%2C%20Naples%2C%20Italy</v>
      </c>
      <c r="M31" s="6" t="s">
        <v>2194</v>
      </c>
    </row>
    <row r="32" ht="17.25" customHeight="1">
      <c r="A32" s="55" t="s">
        <v>597</v>
      </c>
      <c r="B32" s="27" t="s">
        <v>302</v>
      </c>
      <c r="C32" s="32" t="s">
        <v>291</v>
      </c>
      <c r="D32" s="27" t="s">
        <v>1355</v>
      </c>
      <c r="E32" s="27" t="s">
        <v>1356</v>
      </c>
      <c r="F32" s="27" t="s">
        <v>1357</v>
      </c>
      <c r="G32" s="27" t="s">
        <v>1358</v>
      </c>
      <c r="H32" s="21" t="s">
        <v>602</v>
      </c>
      <c r="I32" s="21" t="s">
        <v>603</v>
      </c>
      <c r="J32" s="33">
        <v>40.8483036</v>
      </c>
      <c r="K32" s="33">
        <v>14.254577</v>
      </c>
      <c r="L32" s="29" t="str">
        <f t="shared" si="1"/>
        <v>https://www.google.com/maps/search/Palazzo%20Petrucci%2C%20Naples%2C%20Italy</v>
      </c>
      <c r="M32" s="6" t="s">
        <v>2195</v>
      </c>
    </row>
    <row r="33" ht="17.25" customHeight="1">
      <c r="A33" s="55" t="s">
        <v>1360</v>
      </c>
      <c r="B33" s="27" t="s">
        <v>302</v>
      </c>
      <c r="C33" s="32" t="s">
        <v>291</v>
      </c>
      <c r="D33" s="27" t="s">
        <v>1361</v>
      </c>
      <c r="E33" s="27" t="s">
        <v>1362</v>
      </c>
      <c r="F33" s="27" t="s">
        <v>1363</v>
      </c>
      <c r="G33" s="27" t="s">
        <v>1364</v>
      </c>
      <c r="H33" s="21" t="s">
        <v>1365</v>
      </c>
      <c r="I33" s="21" t="s">
        <v>1366</v>
      </c>
      <c r="J33" s="33">
        <v>40.8233528</v>
      </c>
      <c r="K33" s="33">
        <v>14.217625</v>
      </c>
      <c r="L33" s="29" t="str">
        <f t="shared" si="1"/>
        <v>https://www.google.com/maps/search/Ristorante%20Il%20Miracolo%20dei%20Pesci%2C%20Naples%2C%20Italy</v>
      </c>
      <c r="M33" s="6" t="s">
        <v>2196</v>
      </c>
    </row>
    <row r="34" ht="17.25" customHeight="1">
      <c r="A34" s="55" t="s">
        <v>1367</v>
      </c>
      <c r="B34" s="27" t="s">
        <v>302</v>
      </c>
      <c r="C34" s="32" t="s">
        <v>291</v>
      </c>
      <c r="D34" s="27" t="s">
        <v>1368</v>
      </c>
      <c r="E34" s="27" t="s">
        <v>1369</v>
      </c>
      <c r="F34" s="27" t="s">
        <v>1370</v>
      </c>
      <c r="G34" s="27" t="s">
        <v>1371</v>
      </c>
      <c r="H34" s="21" t="s">
        <v>1372</v>
      </c>
      <c r="I34" s="21" t="s">
        <v>1373</v>
      </c>
      <c r="J34" s="33">
        <v>40.8126189</v>
      </c>
      <c r="K34" s="33">
        <v>14.2073731</v>
      </c>
      <c r="L34" s="29" t="str">
        <f t="shared" si="1"/>
        <v>https://www.google.com/maps/search/Ristorante%20Reginella%2C%20Naples%2C%20Italy</v>
      </c>
      <c r="M34" s="6" t="s">
        <v>2197</v>
      </c>
    </row>
    <row r="35" ht="17.25" customHeight="1">
      <c r="A35" s="55" t="s">
        <v>1374</v>
      </c>
      <c r="B35" s="27" t="s">
        <v>302</v>
      </c>
      <c r="C35" s="32" t="s">
        <v>291</v>
      </c>
      <c r="D35" s="27" t="s">
        <v>1375</v>
      </c>
      <c r="E35" s="27" t="s">
        <v>1376</v>
      </c>
      <c r="F35" s="27" t="s">
        <v>1377</v>
      </c>
      <c r="G35" s="27" t="s">
        <v>1378</v>
      </c>
      <c r="H35" s="21" t="s">
        <v>1379</v>
      </c>
      <c r="I35" s="21" t="s">
        <v>1380</v>
      </c>
      <c r="J35" s="33">
        <v>40.8278216</v>
      </c>
      <c r="K35" s="33">
        <v>14.2485845</v>
      </c>
      <c r="L35" s="29" t="str">
        <f t="shared" si="1"/>
        <v>https://www.google.com/maps/search/La%20Scialuppa%2C%20Naples%2C%20Italy</v>
      </c>
      <c r="M35" s="6" t="s">
        <v>2198</v>
      </c>
    </row>
  </sheetData>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s>
  <drawing r:id="rId3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5"/>
    <col customWidth="1" min="6" max="6" width="34.0"/>
  </cols>
  <sheetData>
    <row r="1">
      <c r="A1" s="21" t="s">
        <v>2199</v>
      </c>
      <c r="B1" s="21" t="s">
        <v>201</v>
      </c>
      <c r="C1" s="22"/>
      <c r="D1" s="21" t="s">
        <v>2200</v>
      </c>
      <c r="E1" s="21" t="s">
        <v>2201</v>
      </c>
      <c r="F1" s="21" t="s">
        <v>2202</v>
      </c>
    </row>
    <row r="2">
      <c r="A2" s="22" t="s">
        <v>455</v>
      </c>
      <c r="B2" s="22" t="s">
        <v>266</v>
      </c>
      <c r="C2" s="22"/>
      <c r="D2" s="22" t="s">
        <v>1948</v>
      </c>
      <c r="E2" s="22" t="s">
        <v>2203</v>
      </c>
      <c r="F2" s="22" t="s">
        <v>2204</v>
      </c>
    </row>
    <row r="3">
      <c r="A3" s="22" t="s">
        <v>461</v>
      </c>
      <c r="B3" s="22" t="s">
        <v>266</v>
      </c>
      <c r="C3" s="22"/>
      <c r="D3" s="22" t="s">
        <v>1935</v>
      </c>
      <c r="E3" s="22" t="s">
        <v>1934</v>
      </c>
      <c r="F3" s="22" t="s">
        <v>2204</v>
      </c>
    </row>
    <row r="4">
      <c r="A4" s="22" t="s">
        <v>468</v>
      </c>
      <c r="B4" s="22" t="s">
        <v>266</v>
      </c>
      <c r="C4" s="22"/>
      <c r="D4" s="22" t="s">
        <v>2205</v>
      </c>
      <c r="E4" s="22" t="s">
        <v>1934</v>
      </c>
      <c r="F4" s="22" t="s">
        <v>2204</v>
      </c>
    </row>
    <row r="5">
      <c r="A5" s="22" t="s">
        <v>477</v>
      </c>
      <c r="B5" s="22" t="s">
        <v>266</v>
      </c>
      <c r="C5" s="22"/>
      <c r="D5" s="22" t="s">
        <v>1934</v>
      </c>
      <c r="E5" s="22" t="s">
        <v>1934</v>
      </c>
      <c r="F5" s="22" t="s">
        <v>2204</v>
      </c>
    </row>
    <row r="6">
      <c r="A6" s="22" t="s">
        <v>485</v>
      </c>
      <c r="B6" s="22" t="s">
        <v>266</v>
      </c>
      <c r="C6" s="22"/>
      <c r="D6" s="22" t="s">
        <v>1948</v>
      </c>
      <c r="E6" s="22" t="s">
        <v>2205</v>
      </c>
      <c r="F6" s="22" t="s">
        <v>2204</v>
      </c>
    </row>
    <row r="7">
      <c r="A7" s="22" t="s">
        <v>535</v>
      </c>
      <c r="B7" s="22" t="s">
        <v>266</v>
      </c>
      <c r="C7" s="22"/>
      <c r="D7" s="22" t="s">
        <v>2206</v>
      </c>
      <c r="E7" s="22" t="s">
        <v>1945</v>
      </c>
      <c r="F7" s="22" t="s">
        <v>2204</v>
      </c>
    </row>
    <row r="8">
      <c r="A8" s="22" t="s">
        <v>802</v>
      </c>
      <c r="B8" s="22" t="s">
        <v>266</v>
      </c>
      <c r="C8" s="22"/>
      <c r="D8" s="22" t="s">
        <v>1948</v>
      </c>
      <c r="E8" s="22" t="s">
        <v>2205</v>
      </c>
      <c r="F8" s="22" t="s">
        <v>2204</v>
      </c>
    </row>
    <row r="9">
      <c r="A9" s="22" t="s">
        <v>812</v>
      </c>
      <c r="B9" s="22" t="s">
        <v>266</v>
      </c>
      <c r="C9" s="22"/>
      <c r="D9" s="22" t="s">
        <v>1948</v>
      </c>
      <c r="E9" s="22" t="s">
        <v>2205</v>
      </c>
      <c r="F9" s="22" t="s">
        <v>2204</v>
      </c>
    </row>
    <row r="10">
      <c r="A10" s="22" t="s">
        <v>857</v>
      </c>
      <c r="B10" s="22" t="s">
        <v>266</v>
      </c>
      <c r="C10" s="22"/>
      <c r="D10" s="22" t="s">
        <v>2205</v>
      </c>
      <c r="E10" s="22" t="s">
        <v>1934</v>
      </c>
      <c r="F10" s="22" t="s">
        <v>2204</v>
      </c>
    </row>
    <row r="11">
      <c r="A11" s="22" t="s">
        <v>863</v>
      </c>
      <c r="B11" s="22" t="s">
        <v>266</v>
      </c>
      <c r="C11" s="22"/>
      <c r="D11" s="22" t="s">
        <v>2207</v>
      </c>
      <c r="E11" s="22" t="s">
        <v>1945</v>
      </c>
      <c r="F11" s="22" t="s">
        <v>2204</v>
      </c>
    </row>
    <row r="12">
      <c r="A12" s="22" t="s">
        <v>870</v>
      </c>
      <c r="B12" s="22" t="s">
        <v>266</v>
      </c>
      <c r="C12" s="22"/>
      <c r="D12" s="22" t="s">
        <v>2205</v>
      </c>
      <c r="E12" s="22" t="s">
        <v>1934</v>
      </c>
      <c r="F12" s="22" t="s">
        <v>2204</v>
      </c>
    </row>
    <row r="13">
      <c r="A13" s="22" t="s">
        <v>881</v>
      </c>
      <c r="B13" s="22" t="s">
        <v>266</v>
      </c>
      <c r="C13" s="22"/>
      <c r="D13" s="22" t="s">
        <v>1948</v>
      </c>
      <c r="E13" s="22" t="s">
        <v>2203</v>
      </c>
      <c r="F13" s="22" t="s">
        <v>2204</v>
      </c>
    </row>
    <row r="14">
      <c r="A14" s="22" t="s">
        <v>935</v>
      </c>
      <c r="B14" s="22" t="s">
        <v>266</v>
      </c>
      <c r="C14" s="22"/>
      <c r="D14" s="22" t="s">
        <v>2208</v>
      </c>
      <c r="E14" s="22" t="s">
        <v>2203</v>
      </c>
      <c r="F14" s="22" t="s">
        <v>2204</v>
      </c>
    </row>
    <row r="15">
      <c r="A15" s="22" t="s">
        <v>857</v>
      </c>
      <c r="B15" s="22" t="s">
        <v>266</v>
      </c>
      <c r="C15" s="22"/>
      <c r="D15" s="22" t="s">
        <v>2205</v>
      </c>
      <c r="E15" s="22" t="s">
        <v>1934</v>
      </c>
      <c r="F15" s="22" t="s">
        <v>2204</v>
      </c>
    </row>
    <row r="16">
      <c r="A16" s="22" t="s">
        <v>857</v>
      </c>
      <c r="B16" s="22" t="s">
        <v>266</v>
      </c>
      <c r="C16" s="22"/>
      <c r="D16" s="22" t="s">
        <v>2205</v>
      </c>
      <c r="E16" s="22" t="s">
        <v>1934</v>
      </c>
      <c r="F16" s="22" t="s">
        <v>2204</v>
      </c>
    </row>
    <row r="17">
      <c r="A17" s="22" t="s">
        <v>1388</v>
      </c>
      <c r="B17" s="22" t="s">
        <v>266</v>
      </c>
      <c r="C17" s="22"/>
      <c r="D17" s="22" t="s">
        <v>2207</v>
      </c>
      <c r="E17" s="22" t="s">
        <v>1934</v>
      </c>
      <c r="F17" s="22" t="s">
        <v>2204</v>
      </c>
    </row>
    <row r="18">
      <c r="A18" s="22" t="s">
        <v>1393</v>
      </c>
      <c r="B18" s="22" t="s">
        <v>266</v>
      </c>
      <c r="C18" s="22"/>
      <c r="D18" s="22" t="s">
        <v>2205</v>
      </c>
      <c r="E18" s="22" t="s">
        <v>1934</v>
      </c>
      <c r="F18" s="22" t="s">
        <v>2204</v>
      </c>
    </row>
    <row r="19">
      <c r="A19" s="22" t="s">
        <v>1398</v>
      </c>
      <c r="B19" s="22" t="s">
        <v>266</v>
      </c>
      <c r="C19" s="22"/>
      <c r="D19" s="22" t="s">
        <v>2205</v>
      </c>
      <c r="E19" s="22" t="s">
        <v>1934</v>
      </c>
      <c r="F19" s="22" t="s">
        <v>2204</v>
      </c>
    </row>
    <row r="20">
      <c r="A20" s="22" t="s">
        <v>1403</v>
      </c>
      <c r="B20" s="22" t="s">
        <v>266</v>
      </c>
      <c r="C20" s="22"/>
      <c r="D20" s="22" t="s">
        <v>2208</v>
      </c>
      <c r="E20" s="22" t="s">
        <v>2205</v>
      </c>
      <c r="F20" s="22" t="s">
        <v>2204</v>
      </c>
    </row>
    <row r="21">
      <c r="A21" s="22" t="s">
        <v>1409</v>
      </c>
      <c r="B21" s="22" t="s">
        <v>266</v>
      </c>
      <c r="C21" s="22"/>
      <c r="D21" s="22" t="s">
        <v>1945</v>
      </c>
      <c r="E21" s="22" t="s">
        <v>1934</v>
      </c>
      <c r="F21" s="22" t="s">
        <v>2204</v>
      </c>
    </row>
    <row r="22">
      <c r="A22" s="22" t="s">
        <v>1416</v>
      </c>
      <c r="B22" s="22" t="s">
        <v>266</v>
      </c>
      <c r="C22" s="22"/>
      <c r="D22" s="22" t="s">
        <v>2207</v>
      </c>
      <c r="E22" s="22" t="s">
        <v>2203</v>
      </c>
      <c r="F22" s="22" t="s">
        <v>2204</v>
      </c>
    </row>
    <row r="23">
      <c r="A23" s="22" t="s">
        <v>1422</v>
      </c>
      <c r="B23" s="22" t="s">
        <v>266</v>
      </c>
      <c r="C23" s="22"/>
      <c r="D23" s="22" t="s">
        <v>1948</v>
      </c>
      <c r="E23" s="22" t="s">
        <v>2203</v>
      </c>
      <c r="F23" s="22" t="s">
        <v>2204</v>
      </c>
    </row>
    <row r="24">
      <c r="A24" s="22" t="s">
        <v>802</v>
      </c>
      <c r="B24" s="22" t="s">
        <v>266</v>
      </c>
      <c r="C24" s="22"/>
      <c r="D24" s="22" t="s">
        <v>1948</v>
      </c>
      <c r="E24" s="22" t="s">
        <v>2205</v>
      </c>
      <c r="F24" s="22" t="s">
        <v>2204</v>
      </c>
    </row>
    <row r="25">
      <c r="A25" s="22" t="s">
        <v>1431</v>
      </c>
      <c r="B25" s="22" t="s">
        <v>266</v>
      </c>
      <c r="C25" s="22"/>
      <c r="D25" s="22" t="s">
        <v>2209</v>
      </c>
      <c r="E25" s="22" t="s">
        <v>1933</v>
      </c>
      <c r="F25" s="22" t="s">
        <v>2204</v>
      </c>
    </row>
    <row r="26">
      <c r="A26" s="22" t="s">
        <v>1438</v>
      </c>
      <c r="B26" s="22" t="s">
        <v>266</v>
      </c>
      <c r="C26" s="22"/>
      <c r="D26" s="22" t="s">
        <v>2207</v>
      </c>
      <c r="E26" s="22" t="s">
        <v>1945</v>
      </c>
      <c r="F26" s="22" t="s">
        <v>2204</v>
      </c>
    </row>
    <row r="27">
      <c r="A27" s="22" t="s">
        <v>1442</v>
      </c>
      <c r="B27" s="22" t="s">
        <v>266</v>
      </c>
      <c r="C27" s="22"/>
      <c r="D27" s="22" t="s">
        <v>1935</v>
      </c>
      <c r="E27" s="22" t="s">
        <v>1945</v>
      </c>
      <c r="F27" s="22" t="s">
        <v>2204</v>
      </c>
    </row>
    <row r="28">
      <c r="A28" s="22" t="s">
        <v>1449</v>
      </c>
      <c r="B28" s="22" t="s">
        <v>266</v>
      </c>
      <c r="C28" s="22"/>
      <c r="D28" s="22" t="s">
        <v>2203</v>
      </c>
      <c r="E28" s="22" t="s">
        <v>1934</v>
      </c>
      <c r="F28" s="22" t="s">
        <v>2204</v>
      </c>
    </row>
    <row r="29">
      <c r="A29" s="22" t="s">
        <v>1456</v>
      </c>
      <c r="B29" s="22" t="s">
        <v>266</v>
      </c>
      <c r="C29" s="22"/>
      <c r="D29" s="22" t="s">
        <v>1935</v>
      </c>
      <c r="E29" s="22" t="s">
        <v>1934</v>
      </c>
      <c r="F29" s="22" t="s">
        <v>2204</v>
      </c>
    </row>
    <row r="30">
      <c r="A30" s="22" t="s">
        <v>812</v>
      </c>
      <c r="B30" s="22" t="s">
        <v>266</v>
      </c>
      <c r="C30" s="22"/>
      <c r="D30" s="22" t="s">
        <v>1948</v>
      </c>
      <c r="E30" s="22" t="s">
        <v>2205</v>
      </c>
      <c r="F30" s="22" t="s">
        <v>2204</v>
      </c>
    </row>
    <row r="31">
      <c r="A31" s="22" t="s">
        <v>1467</v>
      </c>
      <c r="B31" s="22" t="s">
        <v>266</v>
      </c>
      <c r="C31" s="22"/>
      <c r="D31" s="22" t="s">
        <v>2203</v>
      </c>
      <c r="E31" s="22" t="s">
        <v>1945</v>
      </c>
      <c r="F31" s="22" t="s">
        <v>2204</v>
      </c>
    </row>
    <row r="32">
      <c r="A32" s="22" t="s">
        <v>1474</v>
      </c>
      <c r="B32" s="22" t="s">
        <v>266</v>
      </c>
      <c r="C32" s="22"/>
      <c r="D32" s="22" t="s">
        <v>2205</v>
      </c>
      <c r="E32" s="22" t="s">
        <v>1934</v>
      </c>
      <c r="F32" s="22" t="s">
        <v>2204</v>
      </c>
    </row>
    <row r="33">
      <c r="A33" s="22" t="s">
        <v>1481</v>
      </c>
      <c r="B33" s="22" t="s">
        <v>266</v>
      </c>
      <c r="C33" s="22"/>
      <c r="D33" s="22" t="s">
        <v>2208</v>
      </c>
      <c r="E33" s="22" t="s">
        <v>2203</v>
      </c>
      <c r="F33" s="22" t="s">
        <v>2204</v>
      </c>
    </row>
    <row r="34">
      <c r="A34" s="22" t="s">
        <v>1716</v>
      </c>
      <c r="B34" s="22" t="s">
        <v>61</v>
      </c>
      <c r="C34" s="22"/>
      <c r="D34" s="22" t="s">
        <v>1933</v>
      </c>
      <c r="E34" s="22" t="s">
        <v>1934</v>
      </c>
      <c r="F34" s="22" t="s">
        <v>2210</v>
      </c>
    </row>
    <row r="35">
      <c r="A35" s="22" t="s">
        <v>492</v>
      </c>
      <c r="B35" s="22" t="s">
        <v>50</v>
      </c>
      <c r="C35" s="22"/>
      <c r="D35" s="22" t="s">
        <v>2211</v>
      </c>
      <c r="E35" s="22" t="s">
        <v>2212</v>
      </c>
      <c r="F35" s="22" t="s">
        <v>2210</v>
      </c>
    </row>
    <row r="36">
      <c r="A36" s="22" t="s">
        <v>499</v>
      </c>
      <c r="B36" s="22" t="s">
        <v>335</v>
      </c>
      <c r="C36" s="22"/>
      <c r="D36" s="22" t="s">
        <v>2213</v>
      </c>
      <c r="E36" s="22" t="s">
        <v>2214</v>
      </c>
      <c r="F36" s="22" t="s">
        <v>2210</v>
      </c>
    </row>
    <row r="37">
      <c r="A37" s="22" t="s">
        <v>505</v>
      </c>
      <c r="B37" s="22" t="s">
        <v>50</v>
      </c>
      <c r="C37" s="22"/>
      <c r="D37" s="22" t="s">
        <v>2215</v>
      </c>
      <c r="E37" s="22" t="s">
        <v>2212</v>
      </c>
      <c r="F37" s="22" t="s">
        <v>2210</v>
      </c>
    </row>
    <row r="38">
      <c r="A38" s="22" t="s">
        <v>511</v>
      </c>
      <c r="B38" s="22" t="s">
        <v>50</v>
      </c>
      <c r="C38" s="22"/>
      <c r="D38" s="22" t="s">
        <v>2216</v>
      </c>
      <c r="E38" s="22" t="s">
        <v>2217</v>
      </c>
      <c r="F38" s="22" t="s">
        <v>2210</v>
      </c>
    </row>
    <row r="39">
      <c r="A39" s="22" t="s">
        <v>516</v>
      </c>
      <c r="B39" s="22" t="s">
        <v>343</v>
      </c>
      <c r="C39" s="22"/>
      <c r="D39" s="22" t="s">
        <v>2213</v>
      </c>
      <c r="E39" s="22" t="s">
        <v>2214</v>
      </c>
      <c r="F39" s="22" t="s">
        <v>2210</v>
      </c>
    </row>
    <row r="40">
      <c r="A40" s="22" t="s">
        <v>520</v>
      </c>
      <c r="B40" s="22" t="s">
        <v>50</v>
      </c>
      <c r="C40" s="22"/>
      <c r="D40" s="22" t="s">
        <v>2218</v>
      </c>
      <c r="E40" s="22" t="s">
        <v>1949</v>
      </c>
      <c r="F40" s="22" t="s">
        <v>2210</v>
      </c>
    </row>
    <row r="41">
      <c r="A41" s="22" t="s">
        <v>57</v>
      </c>
      <c r="B41" s="22" t="s">
        <v>61</v>
      </c>
      <c r="C41" s="22"/>
      <c r="D41" s="22" t="s">
        <v>2219</v>
      </c>
      <c r="E41" s="22" t="s">
        <v>2220</v>
      </c>
      <c r="F41" s="22" t="s">
        <v>2210</v>
      </c>
    </row>
    <row r="42">
      <c r="A42" s="22" t="s">
        <v>541</v>
      </c>
      <c r="B42" s="22" t="s">
        <v>61</v>
      </c>
      <c r="C42" s="22"/>
      <c r="D42" s="22" t="s">
        <v>2203</v>
      </c>
      <c r="E42" s="22" t="s">
        <v>1934</v>
      </c>
      <c r="F42" s="22" t="s">
        <v>2210</v>
      </c>
    </row>
    <row r="43">
      <c r="A43" s="22" t="s">
        <v>69</v>
      </c>
      <c r="B43" s="22" t="s">
        <v>50</v>
      </c>
      <c r="C43" s="22"/>
      <c r="D43" s="22" t="s">
        <v>2221</v>
      </c>
      <c r="E43" s="22" t="s">
        <v>2222</v>
      </c>
      <c r="F43" s="22" t="s">
        <v>2210</v>
      </c>
    </row>
    <row r="44">
      <c r="A44" s="22" t="s">
        <v>807</v>
      </c>
      <c r="B44" s="22" t="s">
        <v>365</v>
      </c>
      <c r="C44" s="22"/>
      <c r="D44" s="22" t="s">
        <v>2223</v>
      </c>
      <c r="E44" s="22" t="s">
        <v>2224</v>
      </c>
      <c r="F44" s="22" t="s">
        <v>2210</v>
      </c>
    </row>
    <row r="45">
      <c r="A45" s="22" t="s">
        <v>815</v>
      </c>
      <c r="B45" s="22" t="s">
        <v>365</v>
      </c>
      <c r="C45" s="22"/>
      <c r="D45" s="22" t="s">
        <v>2216</v>
      </c>
      <c r="E45" s="22" t="s">
        <v>2225</v>
      </c>
      <c r="F45" s="22" t="s">
        <v>2210</v>
      </c>
    </row>
    <row r="46">
      <c r="A46" s="22" t="s">
        <v>820</v>
      </c>
      <c r="B46" s="22" t="s">
        <v>61</v>
      </c>
      <c r="C46" s="22"/>
      <c r="D46" s="22" t="s">
        <v>2219</v>
      </c>
      <c r="E46" s="22" t="s">
        <v>2220</v>
      </c>
      <c r="F46" s="22" t="s">
        <v>2210</v>
      </c>
    </row>
    <row r="47">
      <c r="A47" s="22" t="s">
        <v>828</v>
      </c>
      <c r="B47" s="22" t="s">
        <v>61</v>
      </c>
      <c r="C47" s="22"/>
      <c r="D47" s="22" t="s">
        <v>1933</v>
      </c>
      <c r="E47" s="22" t="s">
        <v>1934</v>
      </c>
      <c r="F47" s="22" t="s">
        <v>2210</v>
      </c>
    </row>
    <row r="48">
      <c r="A48" s="22" t="s">
        <v>835</v>
      </c>
      <c r="B48" s="22" t="s">
        <v>61</v>
      </c>
      <c r="C48" s="22"/>
      <c r="D48" s="22" t="s">
        <v>1935</v>
      </c>
      <c r="E48" s="22" t="s">
        <v>1934</v>
      </c>
      <c r="F48" s="22" t="s">
        <v>2210</v>
      </c>
    </row>
    <row r="49">
      <c r="A49" s="22" t="s">
        <v>842</v>
      </c>
      <c r="B49" s="22" t="s">
        <v>61</v>
      </c>
      <c r="C49" s="22"/>
      <c r="D49" s="22" t="s">
        <v>2203</v>
      </c>
      <c r="E49" s="22" t="s">
        <v>1934</v>
      </c>
      <c r="F49" s="22" t="s">
        <v>2210</v>
      </c>
    </row>
    <row r="50">
      <c r="A50" s="22" t="s">
        <v>847</v>
      </c>
      <c r="B50" s="22" t="s">
        <v>61</v>
      </c>
      <c r="C50" s="22"/>
      <c r="D50" s="22" t="s">
        <v>1948</v>
      </c>
      <c r="E50" s="22" t="s">
        <v>2205</v>
      </c>
      <c r="F50" s="22" t="s">
        <v>2210</v>
      </c>
    </row>
    <row r="51">
      <c r="A51" s="22" t="s">
        <v>852</v>
      </c>
      <c r="B51" s="22" t="s">
        <v>61</v>
      </c>
      <c r="C51" s="22"/>
      <c r="D51" s="22" t="s">
        <v>2226</v>
      </c>
      <c r="E51" s="22" t="s">
        <v>2212</v>
      </c>
      <c r="F51" s="22" t="s">
        <v>2210</v>
      </c>
    </row>
    <row r="52">
      <c r="A52" s="22" t="s">
        <v>875</v>
      </c>
      <c r="B52" s="22" t="s">
        <v>373</v>
      </c>
      <c r="C52" s="22"/>
      <c r="D52" s="22" t="s">
        <v>2227</v>
      </c>
      <c r="E52" s="22" t="s">
        <v>2225</v>
      </c>
      <c r="F52" s="22" t="s">
        <v>2210</v>
      </c>
    </row>
    <row r="53">
      <c r="A53" s="22" t="s">
        <v>887</v>
      </c>
      <c r="B53" s="22" t="s">
        <v>373</v>
      </c>
      <c r="C53" s="22"/>
      <c r="D53" s="22" t="s">
        <v>2227</v>
      </c>
      <c r="E53" s="22" t="s">
        <v>2225</v>
      </c>
      <c r="F53" s="22" t="s">
        <v>2210</v>
      </c>
    </row>
    <row r="54">
      <c r="A54" s="22" t="s">
        <v>894</v>
      </c>
      <c r="B54" s="22" t="s">
        <v>373</v>
      </c>
      <c r="C54" s="22"/>
      <c r="D54" s="22" t="s">
        <v>2227</v>
      </c>
      <c r="E54" s="22" t="s">
        <v>2225</v>
      </c>
      <c r="F54" s="22" t="s">
        <v>2210</v>
      </c>
    </row>
    <row r="55">
      <c r="A55" s="22" t="s">
        <v>335</v>
      </c>
      <c r="B55" s="22" t="s">
        <v>373</v>
      </c>
      <c r="C55" s="22"/>
      <c r="D55" s="22" t="s">
        <v>2227</v>
      </c>
      <c r="E55" s="22" t="s">
        <v>2225</v>
      </c>
      <c r="F55" s="22" t="s">
        <v>2210</v>
      </c>
    </row>
    <row r="56">
      <c r="A56" s="22" t="s">
        <v>902</v>
      </c>
      <c r="B56" s="22" t="s">
        <v>373</v>
      </c>
      <c r="C56" s="22"/>
      <c r="D56" s="22" t="s">
        <v>2228</v>
      </c>
      <c r="E56" s="22" t="s">
        <v>2229</v>
      </c>
      <c r="F56" s="22" t="s">
        <v>2210</v>
      </c>
    </row>
    <row r="57">
      <c r="A57" s="22" t="s">
        <v>906</v>
      </c>
      <c r="B57" s="22" t="s">
        <v>365</v>
      </c>
      <c r="C57" s="22"/>
      <c r="D57" s="22" t="s">
        <v>2216</v>
      </c>
      <c r="E57" s="22" t="s">
        <v>2225</v>
      </c>
      <c r="F57" s="22" t="s">
        <v>2210</v>
      </c>
    </row>
    <row r="58">
      <c r="A58" s="22" t="s">
        <v>910</v>
      </c>
      <c r="B58" s="22" t="s">
        <v>365</v>
      </c>
      <c r="C58" s="22"/>
      <c r="D58" s="22" t="s">
        <v>2230</v>
      </c>
      <c r="E58" s="22" t="s">
        <v>2225</v>
      </c>
      <c r="F58" s="22" t="s">
        <v>2210</v>
      </c>
    </row>
    <row r="59">
      <c r="A59" s="22" t="s">
        <v>915</v>
      </c>
      <c r="B59" s="22" t="s">
        <v>61</v>
      </c>
      <c r="C59" s="22"/>
      <c r="D59" s="22" t="s">
        <v>2212</v>
      </c>
      <c r="E59" s="22" t="s">
        <v>1938</v>
      </c>
      <c r="F59" s="22" t="s">
        <v>2210</v>
      </c>
    </row>
    <row r="60">
      <c r="A60" s="22" t="s">
        <v>930</v>
      </c>
      <c r="B60" s="22" t="s">
        <v>61</v>
      </c>
      <c r="C60" s="22"/>
      <c r="D60" s="22" t="s">
        <v>1949</v>
      </c>
      <c r="E60" s="22" t="s">
        <v>1948</v>
      </c>
      <c r="F60" s="22" t="s">
        <v>2210</v>
      </c>
    </row>
    <row r="61">
      <c r="A61" s="22" t="s">
        <v>954</v>
      </c>
      <c r="B61" s="22" t="s">
        <v>61</v>
      </c>
      <c r="C61" s="22"/>
      <c r="D61" s="22" t="s">
        <v>2225</v>
      </c>
      <c r="E61" s="22" t="s">
        <v>2208</v>
      </c>
      <c r="F61" s="22" t="s">
        <v>2210</v>
      </c>
    </row>
    <row r="62">
      <c r="A62" s="22" t="s">
        <v>972</v>
      </c>
      <c r="B62" s="22" t="s">
        <v>61</v>
      </c>
      <c r="C62" s="22"/>
      <c r="D62" s="22" t="s">
        <v>2231</v>
      </c>
      <c r="E62" s="22" t="s">
        <v>1935</v>
      </c>
      <c r="F62" s="22" t="s">
        <v>2210</v>
      </c>
    </row>
    <row r="63">
      <c r="A63" s="22" t="s">
        <v>169</v>
      </c>
      <c r="B63" s="22" t="s">
        <v>50</v>
      </c>
      <c r="C63" s="22"/>
      <c r="D63" s="22" t="s">
        <v>2232</v>
      </c>
      <c r="E63" s="22" t="s">
        <v>2222</v>
      </c>
      <c r="F63" s="22" t="s">
        <v>2210</v>
      </c>
    </row>
    <row r="64">
      <c r="A64" s="22" t="s">
        <v>165</v>
      </c>
      <c r="B64" s="22" t="s">
        <v>381</v>
      </c>
      <c r="C64" s="22"/>
      <c r="D64" s="22" t="s">
        <v>2233</v>
      </c>
      <c r="E64" s="22" t="s">
        <v>2226</v>
      </c>
      <c r="F64" s="22" t="s">
        <v>2210</v>
      </c>
    </row>
    <row r="65">
      <c r="A65" s="22" t="s">
        <v>875</v>
      </c>
      <c r="B65" s="22" t="s">
        <v>388</v>
      </c>
      <c r="C65" s="22"/>
      <c r="D65" s="22" t="s">
        <v>2234</v>
      </c>
      <c r="E65" s="22" t="s">
        <v>1937</v>
      </c>
      <c r="F65" s="22" t="s">
        <v>2210</v>
      </c>
    </row>
    <row r="66">
      <c r="A66" s="22" t="s">
        <v>992</v>
      </c>
      <c r="B66" s="22" t="s">
        <v>50</v>
      </c>
      <c r="C66" s="22"/>
      <c r="D66" s="22" t="s">
        <v>2235</v>
      </c>
      <c r="E66" s="22" t="s">
        <v>2220</v>
      </c>
      <c r="F66" s="22" t="s">
        <v>2210</v>
      </c>
    </row>
    <row r="67">
      <c r="A67" s="22" t="s">
        <v>1486</v>
      </c>
      <c r="B67" s="22" t="s">
        <v>50</v>
      </c>
      <c r="C67" s="22"/>
      <c r="D67" s="22" t="s">
        <v>2236</v>
      </c>
      <c r="E67" s="22" t="s">
        <v>2206</v>
      </c>
      <c r="F67" s="22" t="s">
        <v>2210</v>
      </c>
    </row>
    <row r="68">
      <c r="A68" s="22" t="s">
        <v>1493</v>
      </c>
      <c r="B68" s="22" t="s">
        <v>50</v>
      </c>
      <c r="C68" s="22"/>
      <c r="D68" s="22" t="s">
        <v>2237</v>
      </c>
      <c r="E68" s="22" t="s">
        <v>1936</v>
      </c>
      <c r="F68" s="22" t="s">
        <v>2210</v>
      </c>
    </row>
    <row r="69">
      <c r="A69" s="22" t="s">
        <v>51</v>
      </c>
      <c r="B69" s="22" t="s">
        <v>50</v>
      </c>
      <c r="C69" s="22"/>
      <c r="D69" s="22" t="s">
        <v>2211</v>
      </c>
      <c r="E69" s="22" t="s">
        <v>2212</v>
      </c>
      <c r="F69" s="22" t="s">
        <v>2210</v>
      </c>
    </row>
    <row r="70">
      <c r="A70" s="22" t="s">
        <v>1504</v>
      </c>
      <c r="B70" s="22" t="s">
        <v>50</v>
      </c>
      <c r="C70" s="22"/>
      <c r="D70" s="22" t="s">
        <v>2238</v>
      </c>
      <c r="E70" s="22" t="s">
        <v>2220</v>
      </c>
      <c r="F70" s="22" t="s">
        <v>2210</v>
      </c>
    </row>
    <row r="71">
      <c r="A71" s="22" t="s">
        <v>1510</v>
      </c>
      <c r="B71" s="22" t="s">
        <v>50</v>
      </c>
      <c r="C71" s="22"/>
      <c r="D71" s="22" t="s">
        <v>2239</v>
      </c>
      <c r="E71" s="22" t="s">
        <v>2209</v>
      </c>
      <c r="F71" s="22" t="s">
        <v>2210</v>
      </c>
    </row>
    <row r="72">
      <c r="A72" s="22" t="s">
        <v>1516</v>
      </c>
      <c r="B72" s="22" t="s">
        <v>399</v>
      </c>
      <c r="C72" s="22"/>
      <c r="D72" s="22" t="s">
        <v>2240</v>
      </c>
      <c r="E72" s="22" t="s">
        <v>2209</v>
      </c>
      <c r="F72" s="22" t="s">
        <v>2210</v>
      </c>
    </row>
    <row r="73">
      <c r="A73" s="22" t="s">
        <v>1522</v>
      </c>
      <c r="B73" s="22" t="s">
        <v>50</v>
      </c>
      <c r="C73" s="22"/>
      <c r="D73" s="22" t="s">
        <v>2241</v>
      </c>
      <c r="E73" s="22" t="s">
        <v>2222</v>
      </c>
      <c r="F73" s="22" t="s">
        <v>2210</v>
      </c>
    </row>
    <row r="74">
      <c r="A74" s="22" t="s">
        <v>1528</v>
      </c>
      <c r="B74" s="22" t="s">
        <v>50</v>
      </c>
      <c r="C74" s="22"/>
      <c r="D74" s="22" t="s">
        <v>2235</v>
      </c>
      <c r="E74" s="22" t="s">
        <v>2220</v>
      </c>
      <c r="F74" s="22" t="s">
        <v>2210</v>
      </c>
    </row>
    <row r="75">
      <c r="A75" s="22" t="s">
        <v>1535</v>
      </c>
      <c r="B75" s="22" t="s">
        <v>50</v>
      </c>
      <c r="C75" s="22"/>
      <c r="D75" s="22" t="s">
        <v>2242</v>
      </c>
      <c r="E75" s="22" t="s">
        <v>2212</v>
      </c>
      <c r="F75" s="22" t="s">
        <v>2210</v>
      </c>
    </row>
    <row r="76">
      <c r="A76" s="22" t="s">
        <v>1542</v>
      </c>
      <c r="B76" s="22" t="s">
        <v>50</v>
      </c>
      <c r="C76" s="22"/>
      <c r="D76" s="22" t="s">
        <v>2243</v>
      </c>
      <c r="E76" s="22" t="s">
        <v>1938</v>
      </c>
      <c r="F76" s="22" t="s">
        <v>2210</v>
      </c>
    </row>
    <row r="77">
      <c r="A77" s="22" t="s">
        <v>1549</v>
      </c>
      <c r="B77" s="22" t="s">
        <v>50</v>
      </c>
      <c r="C77" s="22"/>
      <c r="D77" s="22" t="s">
        <v>2243</v>
      </c>
      <c r="E77" s="22" t="s">
        <v>1938</v>
      </c>
      <c r="F77" s="22" t="s">
        <v>2210</v>
      </c>
    </row>
    <row r="78">
      <c r="A78" s="22" t="s">
        <v>1554</v>
      </c>
      <c r="B78" s="22" t="s">
        <v>61</v>
      </c>
      <c r="C78" s="22"/>
      <c r="D78" s="22" t="s">
        <v>1935</v>
      </c>
      <c r="E78" s="22" t="s">
        <v>1936</v>
      </c>
      <c r="F78" s="22" t="s">
        <v>2210</v>
      </c>
    </row>
    <row r="79">
      <c r="A79" s="22" t="s">
        <v>1561</v>
      </c>
      <c r="B79" s="22" t="s">
        <v>61</v>
      </c>
      <c r="C79" s="22"/>
      <c r="D79" s="22" t="s">
        <v>1936</v>
      </c>
      <c r="E79" s="22" t="s">
        <v>2212</v>
      </c>
      <c r="F79" s="22" t="s">
        <v>2210</v>
      </c>
    </row>
    <row r="80">
      <c r="A80" s="22" t="s">
        <v>1567</v>
      </c>
      <c r="B80" s="22" t="s">
        <v>50</v>
      </c>
      <c r="C80" s="22"/>
      <c r="D80" s="22" t="s">
        <v>2238</v>
      </c>
      <c r="E80" s="22" t="s">
        <v>2244</v>
      </c>
      <c r="F80" s="22" t="s">
        <v>2210</v>
      </c>
    </row>
    <row r="81">
      <c r="A81" s="22" t="s">
        <v>1561</v>
      </c>
      <c r="B81" s="22" t="s">
        <v>61</v>
      </c>
      <c r="C81" s="22"/>
      <c r="D81" s="22" t="s">
        <v>1936</v>
      </c>
      <c r="E81" s="22" t="s">
        <v>2212</v>
      </c>
      <c r="F81" s="22" t="s">
        <v>2210</v>
      </c>
    </row>
    <row r="82">
      <c r="A82" s="22" t="s">
        <v>1554</v>
      </c>
      <c r="B82" s="22" t="s">
        <v>61</v>
      </c>
      <c r="C82" s="22"/>
      <c r="D82" s="22" t="s">
        <v>1935</v>
      </c>
      <c r="E82" s="22" t="s">
        <v>1936</v>
      </c>
      <c r="F82" s="22" t="s">
        <v>2210</v>
      </c>
    </row>
    <row r="83">
      <c r="A83" s="22" t="s">
        <v>1580</v>
      </c>
      <c r="B83" s="22" t="s">
        <v>61</v>
      </c>
      <c r="C83" s="22"/>
      <c r="D83" s="22" t="s">
        <v>1934</v>
      </c>
      <c r="E83" s="22" t="s">
        <v>2244</v>
      </c>
      <c r="F83" s="22" t="s">
        <v>2210</v>
      </c>
    </row>
    <row r="84">
      <c r="A84" s="22" t="s">
        <v>1586</v>
      </c>
      <c r="B84" s="22" t="s">
        <v>365</v>
      </c>
      <c r="C84" s="22"/>
      <c r="D84" s="22" t="s">
        <v>2216</v>
      </c>
      <c r="E84" s="22" t="s">
        <v>2217</v>
      </c>
      <c r="F84" s="22" t="s">
        <v>2210</v>
      </c>
    </row>
    <row r="85">
      <c r="A85" s="22" t="s">
        <v>1591</v>
      </c>
      <c r="B85" s="22" t="s">
        <v>61</v>
      </c>
      <c r="C85" s="22"/>
      <c r="D85" s="22" t="s">
        <v>2203</v>
      </c>
      <c r="E85" s="22" t="s">
        <v>1934</v>
      </c>
      <c r="F85" s="22" t="s">
        <v>2210</v>
      </c>
    </row>
    <row r="86">
      <c r="A86" s="22" t="s">
        <v>1598</v>
      </c>
      <c r="B86" s="22" t="s">
        <v>61</v>
      </c>
      <c r="C86" s="22"/>
      <c r="D86" s="22" t="s">
        <v>2203</v>
      </c>
      <c r="E86" s="22" t="s">
        <v>1934</v>
      </c>
      <c r="F86" s="22" t="s">
        <v>2210</v>
      </c>
    </row>
    <row r="87">
      <c r="A87" s="22" t="s">
        <v>1602</v>
      </c>
      <c r="B87" s="22" t="s">
        <v>61</v>
      </c>
      <c r="C87" s="22"/>
      <c r="D87" s="22" t="s">
        <v>2206</v>
      </c>
      <c r="E87" s="22" t="s">
        <v>2209</v>
      </c>
      <c r="F87" s="22" t="s">
        <v>2210</v>
      </c>
    </row>
    <row r="88">
      <c r="A88" s="22" t="s">
        <v>1608</v>
      </c>
      <c r="B88" s="22" t="s">
        <v>50</v>
      </c>
      <c r="C88" s="22"/>
      <c r="D88" s="22" t="s">
        <v>2235</v>
      </c>
      <c r="E88" s="22" t="s">
        <v>2220</v>
      </c>
      <c r="F88" s="22" t="s">
        <v>2210</v>
      </c>
    </row>
    <row r="89">
      <c r="A89" s="22" t="s">
        <v>1612</v>
      </c>
      <c r="B89" s="22" t="s">
        <v>50</v>
      </c>
      <c r="C89" s="22"/>
      <c r="D89" s="22" t="s">
        <v>2245</v>
      </c>
      <c r="E89" s="22" t="s">
        <v>2212</v>
      </c>
      <c r="F89" s="22" t="s">
        <v>2210</v>
      </c>
    </row>
    <row r="90">
      <c r="A90" s="22" t="s">
        <v>1619</v>
      </c>
      <c r="B90" s="22" t="s">
        <v>61</v>
      </c>
      <c r="C90" s="22"/>
      <c r="D90" s="22" t="s">
        <v>1945</v>
      </c>
      <c r="E90" s="22" t="s">
        <v>1934</v>
      </c>
      <c r="F90" s="22" t="s">
        <v>2210</v>
      </c>
    </row>
    <row r="91">
      <c r="A91" s="22" t="s">
        <v>1625</v>
      </c>
      <c r="B91" s="22" t="s">
        <v>61</v>
      </c>
      <c r="C91" s="22"/>
      <c r="D91" s="22" t="s">
        <v>1933</v>
      </c>
      <c r="E91" s="22" t="s">
        <v>1949</v>
      </c>
      <c r="F91" s="22" t="s">
        <v>2210</v>
      </c>
    </row>
    <row r="92">
      <c r="A92" s="22" t="s">
        <v>1632</v>
      </c>
      <c r="B92" s="22" t="s">
        <v>50</v>
      </c>
      <c r="C92" s="22"/>
      <c r="D92" s="22" t="s">
        <v>2221</v>
      </c>
      <c r="E92" s="22" t="s">
        <v>2222</v>
      </c>
      <c r="F92" s="22" t="s">
        <v>2210</v>
      </c>
    </row>
    <row r="93">
      <c r="A93" s="22" t="s">
        <v>1637</v>
      </c>
      <c r="B93" s="22" t="s">
        <v>50</v>
      </c>
      <c r="C93" s="22"/>
      <c r="D93" s="22" t="s">
        <v>2234</v>
      </c>
      <c r="E93" s="22" t="s">
        <v>2212</v>
      </c>
      <c r="F93" s="22" t="s">
        <v>2210</v>
      </c>
    </row>
    <row r="94">
      <c r="A94" s="22" t="s">
        <v>1642</v>
      </c>
      <c r="B94" s="22" t="s">
        <v>50</v>
      </c>
      <c r="C94" s="22"/>
      <c r="D94" s="22" t="s">
        <v>2246</v>
      </c>
      <c r="E94" s="22" t="s">
        <v>2220</v>
      </c>
      <c r="F94" s="22" t="s">
        <v>2210</v>
      </c>
    </row>
    <row r="95">
      <c r="A95" s="22" t="s">
        <v>1648</v>
      </c>
      <c r="B95" s="22" t="s">
        <v>61</v>
      </c>
      <c r="C95" s="22"/>
      <c r="D95" s="22" t="s">
        <v>2226</v>
      </c>
      <c r="E95" s="22" t="s">
        <v>2212</v>
      </c>
      <c r="F95" s="22" t="s">
        <v>2210</v>
      </c>
    </row>
    <row r="96">
      <c r="A96" s="22" t="s">
        <v>1652</v>
      </c>
      <c r="B96" s="22" t="s">
        <v>61</v>
      </c>
      <c r="C96" s="22"/>
      <c r="D96" s="22" t="s">
        <v>1933</v>
      </c>
      <c r="E96" s="22" t="s">
        <v>1934</v>
      </c>
      <c r="F96" s="22" t="s">
        <v>2210</v>
      </c>
    </row>
    <row r="97">
      <c r="A97" s="22" t="s">
        <v>1567</v>
      </c>
      <c r="B97" s="22" t="s">
        <v>50</v>
      </c>
      <c r="C97" s="22"/>
      <c r="D97" s="22" t="s">
        <v>2238</v>
      </c>
      <c r="E97" s="22" t="s">
        <v>2244</v>
      </c>
      <c r="F97" s="22" t="s">
        <v>2210</v>
      </c>
    </row>
    <row r="98">
      <c r="A98" s="22" t="s">
        <v>1642</v>
      </c>
      <c r="B98" s="22" t="s">
        <v>50</v>
      </c>
      <c r="C98" s="22"/>
      <c r="D98" s="22" t="s">
        <v>2246</v>
      </c>
      <c r="E98" s="22" t="s">
        <v>2220</v>
      </c>
      <c r="F98" s="22" t="s">
        <v>2210</v>
      </c>
    </row>
    <row r="99">
      <c r="A99" s="22" t="s">
        <v>1661</v>
      </c>
      <c r="B99" s="22" t="s">
        <v>50</v>
      </c>
      <c r="C99" s="22"/>
      <c r="D99" s="22" t="s">
        <v>2247</v>
      </c>
      <c r="E99" s="22" t="s">
        <v>2212</v>
      </c>
      <c r="F99" s="22" t="s">
        <v>2210</v>
      </c>
    </row>
    <row r="100">
      <c r="A100" s="22" t="s">
        <v>1666</v>
      </c>
      <c r="B100" s="22" t="s">
        <v>50</v>
      </c>
      <c r="C100" s="22"/>
      <c r="D100" s="22" t="s">
        <v>2215</v>
      </c>
      <c r="E100" s="22" t="s">
        <v>2212</v>
      </c>
      <c r="F100" s="22" t="s">
        <v>2210</v>
      </c>
    </row>
    <row r="101">
      <c r="A101" s="22" t="s">
        <v>1669</v>
      </c>
      <c r="B101" s="22" t="s">
        <v>61</v>
      </c>
      <c r="C101" s="22"/>
      <c r="D101" s="22" t="s">
        <v>2208</v>
      </c>
      <c r="E101" s="22" t="s">
        <v>1934</v>
      </c>
      <c r="F101" s="22" t="s">
        <v>2210</v>
      </c>
    </row>
    <row r="102">
      <c r="A102" s="22" t="s">
        <v>972</v>
      </c>
      <c r="B102" s="22" t="s">
        <v>61</v>
      </c>
      <c r="C102" s="22"/>
      <c r="D102" s="22" t="s">
        <v>2231</v>
      </c>
      <c r="E102" s="22" t="s">
        <v>1935</v>
      </c>
      <c r="F102" s="22" t="s">
        <v>2210</v>
      </c>
    </row>
    <row r="103">
      <c r="A103" s="22" t="s">
        <v>1678</v>
      </c>
      <c r="B103" s="22" t="s">
        <v>50</v>
      </c>
      <c r="C103" s="22"/>
      <c r="D103" s="22" t="s">
        <v>2232</v>
      </c>
      <c r="E103" s="22" t="s">
        <v>2222</v>
      </c>
      <c r="F103" s="22" t="s">
        <v>2210</v>
      </c>
    </row>
    <row r="104">
      <c r="A104" s="22" t="s">
        <v>1681</v>
      </c>
      <c r="B104" s="22" t="s">
        <v>50</v>
      </c>
      <c r="C104" s="22"/>
      <c r="D104" s="22" t="s">
        <v>2248</v>
      </c>
      <c r="E104" s="22" t="s">
        <v>2220</v>
      </c>
      <c r="F104" s="22" t="s">
        <v>2210</v>
      </c>
    </row>
    <row r="105">
      <c r="A105" s="22" t="s">
        <v>1687</v>
      </c>
      <c r="B105" s="22" t="s">
        <v>335</v>
      </c>
      <c r="C105" s="22"/>
      <c r="D105" s="22" t="s">
        <v>2228</v>
      </c>
      <c r="E105" s="22" t="s">
        <v>2229</v>
      </c>
      <c r="F105" s="22" t="s">
        <v>2210</v>
      </c>
    </row>
    <row r="106">
      <c r="A106" s="22" t="s">
        <v>1695</v>
      </c>
      <c r="B106" s="22" t="s">
        <v>50</v>
      </c>
      <c r="C106" s="22"/>
      <c r="D106" s="22" t="s">
        <v>2249</v>
      </c>
      <c r="E106" s="22" t="s">
        <v>2244</v>
      </c>
      <c r="F106" s="22" t="s">
        <v>2210</v>
      </c>
    </row>
    <row r="107">
      <c r="A107" s="22" t="s">
        <v>1701</v>
      </c>
      <c r="B107" s="22" t="s">
        <v>50</v>
      </c>
      <c r="C107" s="22"/>
      <c r="D107" s="22" t="s">
        <v>2250</v>
      </c>
      <c r="E107" s="22" t="s">
        <v>2244</v>
      </c>
      <c r="F107" s="22" t="s">
        <v>2210</v>
      </c>
    </row>
    <row r="108">
      <c r="A108" s="22" t="s">
        <v>1706</v>
      </c>
      <c r="B108" s="22" t="s">
        <v>365</v>
      </c>
      <c r="C108" s="22"/>
      <c r="D108" s="22" t="s">
        <v>2230</v>
      </c>
      <c r="E108" s="22" t="s">
        <v>2225</v>
      </c>
      <c r="F108" s="22" t="s">
        <v>2210</v>
      </c>
    </row>
    <row r="109">
      <c r="A109" s="22" t="s">
        <v>1712</v>
      </c>
      <c r="B109" s="22" t="s">
        <v>61</v>
      </c>
      <c r="C109" s="22"/>
      <c r="D109" s="22" t="s">
        <v>1935</v>
      </c>
      <c r="E109" s="22" t="s">
        <v>1934</v>
      </c>
      <c r="F109" s="22" t="s">
        <v>2210</v>
      </c>
    </row>
    <row r="110">
      <c r="A110" s="22" t="s">
        <v>1716</v>
      </c>
      <c r="B110" s="22" t="s">
        <v>61</v>
      </c>
      <c r="C110" s="22"/>
      <c r="D110" s="22" t="s">
        <v>1933</v>
      </c>
      <c r="E110" s="22" t="s">
        <v>1934</v>
      </c>
      <c r="F110" s="22" t="s">
        <v>2210</v>
      </c>
    </row>
    <row r="111">
      <c r="A111" s="22" t="s">
        <v>1554</v>
      </c>
      <c r="B111" s="22" t="s">
        <v>61</v>
      </c>
      <c r="C111" s="22"/>
      <c r="D111" s="22" t="s">
        <v>1935</v>
      </c>
      <c r="E111" s="22" t="s">
        <v>1936</v>
      </c>
      <c r="F111" s="22" t="s">
        <v>2210</v>
      </c>
    </row>
    <row r="112">
      <c r="A112" s="22" t="s">
        <v>1726</v>
      </c>
      <c r="B112" s="22" t="s">
        <v>61</v>
      </c>
      <c r="C112" s="22"/>
      <c r="D112" s="22" t="s">
        <v>1937</v>
      </c>
      <c r="E112" s="22" t="s">
        <v>1938</v>
      </c>
      <c r="F112" s="22" t="s">
        <v>2210</v>
      </c>
    </row>
    <row r="113">
      <c r="A113" s="22" t="s">
        <v>1732</v>
      </c>
      <c r="B113" s="22" t="s">
        <v>61</v>
      </c>
      <c r="C113" s="22"/>
      <c r="D113" s="22" t="s">
        <v>1945</v>
      </c>
      <c r="E113" s="22" t="s">
        <v>1934</v>
      </c>
      <c r="F113" s="22" t="s">
        <v>2210</v>
      </c>
    </row>
    <row r="114">
      <c r="A114" s="22" t="s">
        <v>1736</v>
      </c>
      <c r="B114" s="22" t="s">
        <v>61</v>
      </c>
      <c r="C114" s="22"/>
      <c r="D114" s="22" t="s">
        <v>1948</v>
      </c>
      <c r="E114" s="22" t="s">
        <v>1949</v>
      </c>
      <c r="F114" s="22" t="s">
        <v>2210</v>
      </c>
    </row>
    <row r="115">
      <c r="A115" s="22" t="s">
        <v>1742</v>
      </c>
      <c r="B115" s="22" t="s">
        <v>61</v>
      </c>
      <c r="C115" s="22"/>
      <c r="D115" s="22" t="s">
        <v>1933</v>
      </c>
      <c r="E115" s="22" t="s">
        <v>1949</v>
      </c>
      <c r="F115" s="22" t="s">
        <v>2210</v>
      </c>
    </row>
    <row r="116">
      <c r="A116" s="22" t="s">
        <v>1591</v>
      </c>
      <c r="B116" s="22" t="s">
        <v>61</v>
      </c>
      <c r="C116" s="22"/>
      <c r="D116" s="22" t="s">
        <v>2203</v>
      </c>
      <c r="E116" s="22" t="s">
        <v>1934</v>
      </c>
      <c r="F116" s="22" t="s">
        <v>2210</v>
      </c>
    </row>
    <row r="117">
      <c r="A117" s="22" t="s">
        <v>1749</v>
      </c>
      <c r="B117" s="22" t="s">
        <v>61</v>
      </c>
      <c r="C117" s="22"/>
      <c r="D117" s="22" t="s">
        <v>1948</v>
      </c>
      <c r="E117" s="22" t="s">
        <v>2205</v>
      </c>
      <c r="F117" s="22" t="s">
        <v>2210</v>
      </c>
    </row>
    <row r="118">
      <c r="A118" s="22" t="s">
        <v>219</v>
      </c>
      <c r="B118" s="22" t="s">
        <v>220</v>
      </c>
      <c r="C118" s="22"/>
      <c r="D118" s="22" t="s">
        <v>2203</v>
      </c>
      <c r="E118" s="22" t="s">
        <v>1934</v>
      </c>
      <c r="F118" s="22" t="s">
        <v>2251</v>
      </c>
    </row>
    <row r="119">
      <c r="A119" s="22" t="s">
        <v>232</v>
      </c>
      <c r="B119" s="22" t="s">
        <v>233</v>
      </c>
      <c r="C119" s="22"/>
      <c r="D119" s="22" t="s">
        <v>1938</v>
      </c>
      <c r="E119" s="22" t="s">
        <v>1933</v>
      </c>
      <c r="F119" s="22" t="s">
        <v>2251</v>
      </c>
    </row>
    <row r="120">
      <c r="A120" s="22" t="s">
        <v>245</v>
      </c>
      <c r="B120" s="22" t="s">
        <v>220</v>
      </c>
      <c r="C120" s="22"/>
      <c r="D120" s="22" t="s">
        <v>1935</v>
      </c>
      <c r="E120" s="22" t="s">
        <v>1934</v>
      </c>
      <c r="F120" s="22" t="s">
        <v>2251</v>
      </c>
    </row>
    <row r="121">
      <c r="A121" s="22" t="s">
        <v>256</v>
      </c>
      <c r="B121" s="22" t="s">
        <v>220</v>
      </c>
      <c r="C121" s="22"/>
      <c r="D121" s="22" t="s">
        <v>2252</v>
      </c>
      <c r="E121" s="22" t="s">
        <v>1937</v>
      </c>
      <c r="F121" s="22" t="s">
        <v>2251</v>
      </c>
    </row>
    <row r="122">
      <c r="A122" s="22" t="s">
        <v>268</v>
      </c>
      <c r="B122" s="22" t="s">
        <v>220</v>
      </c>
      <c r="C122" s="22"/>
      <c r="D122" s="22" t="s">
        <v>1936</v>
      </c>
      <c r="E122" s="22" t="s">
        <v>2208</v>
      </c>
      <c r="F122" s="22" t="s">
        <v>2251</v>
      </c>
    </row>
    <row r="123">
      <c r="A123" s="22" t="s">
        <v>279</v>
      </c>
      <c r="B123" s="22" t="s">
        <v>220</v>
      </c>
      <c r="C123" s="22"/>
      <c r="D123" s="22" t="s">
        <v>1935</v>
      </c>
      <c r="E123" s="22" t="s">
        <v>1934</v>
      </c>
      <c r="F123" s="22" t="s">
        <v>2251</v>
      </c>
    </row>
    <row r="124">
      <c r="A124" s="22" t="s">
        <v>288</v>
      </c>
      <c r="B124" s="22" t="s">
        <v>289</v>
      </c>
      <c r="C124" s="22"/>
      <c r="D124" s="22" t="s">
        <v>1933</v>
      </c>
      <c r="E124" s="22" t="s">
        <v>1934</v>
      </c>
      <c r="F124" s="22" t="s">
        <v>2251</v>
      </c>
    </row>
    <row r="125">
      <c r="A125" s="22" t="s">
        <v>301</v>
      </c>
      <c r="B125" s="22" t="s">
        <v>289</v>
      </c>
      <c r="C125" s="22"/>
      <c r="D125" s="22" t="s">
        <v>1945</v>
      </c>
      <c r="E125" s="22" t="s">
        <v>1934</v>
      </c>
      <c r="F125" s="22" t="s">
        <v>2251</v>
      </c>
    </row>
    <row r="126">
      <c r="A126" s="22" t="s">
        <v>310</v>
      </c>
      <c r="B126" s="22" t="s">
        <v>265</v>
      </c>
      <c r="C126" s="22"/>
      <c r="D126" s="22" t="s">
        <v>2253</v>
      </c>
      <c r="E126" s="22" t="s">
        <v>2207</v>
      </c>
      <c r="F126" s="22" t="s">
        <v>2251</v>
      </c>
    </row>
    <row r="127">
      <c r="A127" s="22" t="s">
        <v>318</v>
      </c>
      <c r="B127" s="22" t="s">
        <v>278</v>
      </c>
      <c r="C127" s="22"/>
      <c r="D127" s="22" t="s">
        <v>2222</v>
      </c>
      <c r="E127" s="56" t="e">
        <v>#ERROR!</v>
      </c>
      <c r="F127" s="22" t="s">
        <v>2251</v>
      </c>
    </row>
    <row r="128">
      <c r="A128" s="22" t="s">
        <v>326</v>
      </c>
      <c r="B128" s="22" t="s">
        <v>289</v>
      </c>
      <c r="C128" s="22"/>
      <c r="D128" s="22" t="s">
        <v>2205</v>
      </c>
      <c r="E128" s="22" t="s">
        <v>1934</v>
      </c>
      <c r="F128" s="22" t="s">
        <v>2251</v>
      </c>
    </row>
    <row r="129">
      <c r="A129" s="22" t="s">
        <v>336</v>
      </c>
      <c r="B129" s="22" t="s">
        <v>265</v>
      </c>
      <c r="C129" s="22"/>
      <c r="D129" s="22" t="s">
        <v>2226</v>
      </c>
      <c r="E129" s="22" t="s">
        <v>2209</v>
      </c>
      <c r="F129" s="22" t="s">
        <v>2251</v>
      </c>
    </row>
    <row r="130">
      <c r="A130" s="22" t="s">
        <v>344</v>
      </c>
      <c r="B130" s="22" t="s">
        <v>289</v>
      </c>
      <c r="C130" s="22"/>
      <c r="D130" s="22" t="s">
        <v>1935</v>
      </c>
      <c r="E130" s="22" t="s">
        <v>1934</v>
      </c>
      <c r="F130" s="22" t="s">
        <v>2251</v>
      </c>
    </row>
    <row r="131">
      <c r="A131" s="22" t="s">
        <v>353</v>
      </c>
      <c r="B131" s="22" t="s">
        <v>289</v>
      </c>
      <c r="C131" s="22"/>
      <c r="D131" s="22" t="s">
        <v>1938</v>
      </c>
      <c r="E131" s="22" t="s">
        <v>1933</v>
      </c>
      <c r="F131" s="22" t="s">
        <v>2251</v>
      </c>
    </row>
    <row r="132">
      <c r="A132" s="22" t="s">
        <v>359</v>
      </c>
      <c r="B132" s="22" t="s">
        <v>243</v>
      </c>
      <c r="C132" s="22"/>
      <c r="D132" s="22" t="s">
        <v>1935</v>
      </c>
      <c r="E132" s="22" t="s">
        <v>1934</v>
      </c>
      <c r="F132" s="22" t="s">
        <v>2251</v>
      </c>
    </row>
    <row r="133">
      <c r="A133" s="22" t="s">
        <v>366</v>
      </c>
      <c r="B133" s="22" t="s">
        <v>243</v>
      </c>
      <c r="C133" s="22"/>
      <c r="D133" s="22" t="s">
        <v>2226</v>
      </c>
      <c r="E133" s="22" t="s">
        <v>1948</v>
      </c>
      <c r="F133" s="22" t="s">
        <v>2251</v>
      </c>
    </row>
    <row r="134">
      <c r="A134" s="22" t="s">
        <v>374</v>
      </c>
      <c r="B134" s="22" t="s">
        <v>243</v>
      </c>
      <c r="C134" s="22"/>
      <c r="D134" s="22" t="s">
        <v>2254</v>
      </c>
      <c r="E134" s="22" t="s">
        <v>2208</v>
      </c>
      <c r="F134" s="22" t="s">
        <v>2251</v>
      </c>
    </row>
    <row r="135">
      <c r="A135" s="22" t="s">
        <v>382</v>
      </c>
      <c r="B135" s="22" t="s">
        <v>243</v>
      </c>
      <c r="C135" s="22"/>
      <c r="D135" s="22" t="s">
        <v>2244</v>
      </c>
      <c r="E135" s="22" t="s">
        <v>1933</v>
      </c>
      <c r="F135" s="22" t="s">
        <v>2251</v>
      </c>
    </row>
    <row r="136">
      <c r="A136" s="22" t="s">
        <v>430</v>
      </c>
      <c r="B136" s="22" t="s">
        <v>243</v>
      </c>
      <c r="C136" s="22"/>
      <c r="D136" s="22" t="s">
        <v>2206</v>
      </c>
      <c r="E136" s="22" t="s">
        <v>1934</v>
      </c>
      <c r="F136" s="22" t="s">
        <v>2251</v>
      </c>
    </row>
    <row r="137">
      <c r="A137" s="22" t="s">
        <v>435</v>
      </c>
      <c r="B137" s="22" t="s">
        <v>243</v>
      </c>
      <c r="C137" s="22"/>
      <c r="D137" s="22" t="s">
        <v>2253</v>
      </c>
      <c r="E137" s="22" t="s">
        <v>1948</v>
      </c>
      <c r="F137" s="22" t="s">
        <v>2251</v>
      </c>
    </row>
    <row r="138">
      <c r="A138" s="22" t="s">
        <v>45</v>
      </c>
      <c r="B138" s="22" t="s">
        <v>243</v>
      </c>
      <c r="C138" s="22"/>
      <c r="D138" s="22" t="s">
        <v>2253</v>
      </c>
      <c r="E138" s="22" t="s">
        <v>1934</v>
      </c>
      <c r="F138" s="22" t="s">
        <v>2251</v>
      </c>
    </row>
    <row r="139">
      <c r="A139" s="22" t="s">
        <v>448</v>
      </c>
      <c r="B139" s="22" t="s">
        <v>243</v>
      </c>
      <c r="C139" s="22"/>
      <c r="D139" s="22" t="s">
        <v>2255</v>
      </c>
      <c r="E139" s="22" t="s">
        <v>2254</v>
      </c>
      <c r="F139" s="22" t="s">
        <v>2251</v>
      </c>
    </row>
    <row r="140">
      <c r="A140" s="22" t="s">
        <v>692</v>
      </c>
      <c r="B140" s="22" t="s">
        <v>243</v>
      </c>
      <c r="C140" s="22"/>
      <c r="D140" s="22" t="s">
        <v>2203</v>
      </c>
      <c r="E140" s="22" t="s">
        <v>1934</v>
      </c>
      <c r="F140" s="22" t="s">
        <v>2251</v>
      </c>
    </row>
    <row r="141">
      <c r="A141" s="22" t="s">
        <v>698</v>
      </c>
      <c r="B141" s="22" t="s">
        <v>243</v>
      </c>
      <c r="C141" s="22"/>
      <c r="D141" s="22" t="s">
        <v>1938</v>
      </c>
      <c r="E141" s="22" t="s">
        <v>1933</v>
      </c>
      <c r="F141" s="22" t="s">
        <v>2251</v>
      </c>
    </row>
    <row r="142">
      <c r="A142" s="22" t="s">
        <v>704</v>
      </c>
      <c r="B142" s="22" t="s">
        <v>243</v>
      </c>
      <c r="C142" s="22"/>
      <c r="D142" s="22" t="s">
        <v>1945</v>
      </c>
      <c r="E142" s="22" t="s">
        <v>1934</v>
      </c>
      <c r="F142" s="22" t="s">
        <v>2251</v>
      </c>
    </row>
    <row r="143">
      <c r="A143" s="22" t="s">
        <v>710</v>
      </c>
      <c r="B143" s="22" t="s">
        <v>243</v>
      </c>
      <c r="C143" s="22"/>
      <c r="D143" s="22" t="s">
        <v>2203</v>
      </c>
      <c r="E143" s="22" t="s">
        <v>1934</v>
      </c>
      <c r="F143" s="22" t="s">
        <v>2251</v>
      </c>
    </row>
    <row r="144">
      <c r="A144" s="22" t="s">
        <v>717</v>
      </c>
      <c r="B144" s="22" t="s">
        <v>243</v>
      </c>
      <c r="C144" s="22"/>
      <c r="D144" s="22" t="s">
        <v>1945</v>
      </c>
      <c r="E144" s="22" t="s">
        <v>1934</v>
      </c>
      <c r="F144" s="22" t="s">
        <v>2251</v>
      </c>
    </row>
    <row r="145">
      <c r="A145" s="22" t="s">
        <v>725</v>
      </c>
      <c r="B145" s="22" t="s">
        <v>243</v>
      </c>
      <c r="C145" s="22"/>
      <c r="D145" s="22" t="s">
        <v>2222</v>
      </c>
      <c r="E145" s="22" t="s">
        <v>1933</v>
      </c>
      <c r="F145" s="22" t="s">
        <v>2251</v>
      </c>
    </row>
    <row r="146">
      <c r="A146" s="22" t="s">
        <v>301</v>
      </c>
      <c r="B146" s="22" t="s">
        <v>243</v>
      </c>
      <c r="C146" s="22"/>
      <c r="D146" s="22" t="s">
        <v>1945</v>
      </c>
      <c r="E146" s="22" t="s">
        <v>1934</v>
      </c>
      <c r="F146" s="22" t="s">
        <v>2251</v>
      </c>
    </row>
    <row r="147">
      <c r="A147" s="22" t="s">
        <v>735</v>
      </c>
      <c r="B147" s="22" t="s">
        <v>243</v>
      </c>
      <c r="C147" s="22"/>
      <c r="D147" s="22" t="s">
        <v>2256</v>
      </c>
      <c r="E147" s="22" t="s">
        <v>2254</v>
      </c>
      <c r="F147" s="22" t="s">
        <v>2251</v>
      </c>
    </row>
    <row r="148">
      <c r="A148" s="22" t="s">
        <v>743</v>
      </c>
      <c r="B148" s="22" t="s">
        <v>243</v>
      </c>
      <c r="C148" s="22"/>
      <c r="D148" s="22" t="s">
        <v>2229</v>
      </c>
      <c r="E148" s="22" t="s">
        <v>1934</v>
      </c>
      <c r="F148" s="22" t="s">
        <v>2251</v>
      </c>
    </row>
    <row r="149">
      <c r="A149" s="22" t="s">
        <v>749</v>
      </c>
      <c r="B149" s="22" t="s">
        <v>243</v>
      </c>
      <c r="C149" s="22"/>
      <c r="D149" s="22" t="s">
        <v>2256</v>
      </c>
      <c r="E149" s="22" t="s">
        <v>2254</v>
      </c>
      <c r="F149" s="22" t="s">
        <v>2251</v>
      </c>
    </row>
    <row r="150">
      <c r="A150" s="22" t="s">
        <v>754</v>
      </c>
      <c r="B150" s="22" t="s">
        <v>243</v>
      </c>
      <c r="C150" s="22"/>
      <c r="D150" s="22" t="s">
        <v>2257</v>
      </c>
      <c r="E150" s="22" t="s">
        <v>2254</v>
      </c>
      <c r="F150" s="22" t="s">
        <v>2251</v>
      </c>
    </row>
    <row r="151">
      <c r="A151" s="22" t="s">
        <v>762</v>
      </c>
      <c r="B151" s="22" t="s">
        <v>79</v>
      </c>
      <c r="C151" s="22"/>
      <c r="D151" s="22" t="s">
        <v>2258</v>
      </c>
      <c r="E151" s="22" t="s">
        <v>2212</v>
      </c>
      <c r="F151" s="22" t="s">
        <v>2251</v>
      </c>
    </row>
    <row r="152">
      <c r="A152" s="22" t="s">
        <v>769</v>
      </c>
      <c r="B152" s="22" t="s">
        <v>79</v>
      </c>
      <c r="C152" s="22"/>
      <c r="D152" s="22" t="s">
        <v>2219</v>
      </c>
      <c r="E152" s="22" t="s">
        <v>1937</v>
      </c>
      <c r="F152" s="22" t="s">
        <v>2251</v>
      </c>
    </row>
    <row r="153">
      <c r="A153" s="22" t="s">
        <v>77</v>
      </c>
      <c r="B153" s="22" t="s">
        <v>243</v>
      </c>
      <c r="C153" s="22"/>
      <c r="D153" s="22" t="s">
        <v>2231</v>
      </c>
      <c r="E153" s="22" t="s">
        <v>1948</v>
      </c>
      <c r="F153" s="22" t="s">
        <v>2251</v>
      </c>
    </row>
    <row r="154">
      <c r="A154" s="22" t="s">
        <v>784</v>
      </c>
      <c r="B154" s="22" t="s">
        <v>243</v>
      </c>
      <c r="C154" s="22"/>
      <c r="D154" s="22" t="s">
        <v>2253</v>
      </c>
      <c r="E154" s="22" t="s">
        <v>1934</v>
      </c>
      <c r="F154" s="22" t="s">
        <v>2251</v>
      </c>
    </row>
    <row r="155">
      <c r="A155" s="22" t="s">
        <v>791</v>
      </c>
      <c r="B155" s="22" t="s">
        <v>243</v>
      </c>
      <c r="C155" s="22"/>
      <c r="D155" s="22" t="s">
        <v>2212</v>
      </c>
      <c r="E155" s="22" t="s">
        <v>1934</v>
      </c>
      <c r="F155" s="22" t="s">
        <v>2251</v>
      </c>
    </row>
    <row r="156">
      <c r="A156" s="22" t="s">
        <v>797</v>
      </c>
      <c r="B156" s="22" t="s">
        <v>79</v>
      </c>
      <c r="C156" s="22"/>
      <c r="D156" s="22" t="s">
        <v>2259</v>
      </c>
      <c r="E156" s="22" t="s">
        <v>2206</v>
      </c>
      <c r="F156" s="22" t="s">
        <v>2251</v>
      </c>
    </row>
    <row r="157">
      <c r="A157" s="22" t="s">
        <v>920</v>
      </c>
      <c r="B157" s="22" t="s">
        <v>79</v>
      </c>
      <c r="C157" s="22"/>
      <c r="D157" s="22" t="s">
        <v>2260</v>
      </c>
      <c r="E157" s="22" t="s">
        <v>1937</v>
      </c>
      <c r="F157" s="22" t="s">
        <v>2251</v>
      </c>
    </row>
    <row r="158">
      <c r="A158" s="22" t="s">
        <v>927</v>
      </c>
      <c r="B158" s="22" t="s">
        <v>243</v>
      </c>
      <c r="C158" s="22"/>
      <c r="D158" s="22" t="s">
        <v>1935</v>
      </c>
      <c r="E158" s="22" t="s">
        <v>1934</v>
      </c>
      <c r="F158" s="22" t="s">
        <v>2251</v>
      </c>
    </row>
    <row r="159">
      <c r="A159" s="22" t="s">
        <v>940</v>
      </c>
      <c r="B159" s="22" t="s">
        <v>243</v>
      </c>
      <c r="C159" s="22"/>
      <c r="D159" s="22" t="s">
        <v>2261</v>
      </c>
      <c r="E159" s="22" t="s">
        <v>2209</v>
      </c>
      <c r="F159" s="22" t="s">
        <v>2251</v>
      </c>
    </row>
    <row r="160">
      <c r="A160" s="22" t="s">
        <v>959</v>
      </c>
      <c r="B160" s="22" t="s">
        <v>243</v>
      </c>
      <c r="C160" s="22"/>
      <c r="D160" s="22" t="s">
        <v>2253</v>
      </c>
      <c r="E160" s="22" t="s">
        <v>1948</v>
      </c>
      <c r="F160" s="22" t="s">
        <v>2251</v>
      </c>
    </row>
    <row r="161">
      <c r="A161" s="22" t="s">
        <v>964</v>
      </c>
      <c r="B161" s="22" t="s">
        <v>243</v>
      </c>
      <c r="C161" s="22"/>
      <c r="D161" s="22" t="s">
        <v>2231</v>
      </c>
      <c r="E161" s="22" t="s">
        <v>1934</v>
      </c>
      <c r="F161" s="22" t="s">
        <v>2251</v>
      </c>
    </row>
    <row r="162">
      <c r="A162" s="22" t="s">
        <v>995</v>
      </c>
      <c r="B162" s="22" t="s">
        <v>243</v>
      </c>
      <c r="C162" s="22"/>
      <c r="D162" s="22" t="s">
        <v>2229</v>
      </c>
      <c r="E162" s="22" t="s">
        <v>1934</v>
      </c>
      <c r="F162" s="22" t="s">
        <v>2251</v>
      </c>
    </row>
    <row r="163">
      <c r="A163" s="22" t="s">
        <v>1002</v>
      </c>
      <c r="B163" s="22" t="s">
        <v>243</v>
      </c>
      <c r="C163" s="22"/>
      <c r="D163" s="22" t="s">
        <v>2262</v>
      </c>
      <c r="E163" s="22" t="s">
        <v>1937</v>
      </c>
      <c r="F163" s="22" t="s">
        <v>2251</v>
      </c>
    </row>
    <row r="164">
      <c r="A164" s="22" t="s">
        <v>1007</v>
      </c>
      <c r="B164" s="22" t="s">
        <v>79</v>
      </c>
      <c r="C164" s="22"/>
      <c r="D164" s="22" t="s">
        <v>2263</v>
      </c>
      <c r="E164" s="22" t="s">
        <v>1936</v>
      </c>
      <c r="F164" s="22" t="s">
        <v>2251</v>
      </c>
    </row>
    <row r="165">
      <c r="A165" s="22" t="s">
        <v>389</v>
      </c>
      <c r="B165" s="22" t="s">
        <v>255</v>
      </c>
      <c r="C165" s="22"/>
      <c r="D165" s="22" t="s">
        <v>2264</v>
      </c>
      <c r="E165" s="22" t="s">
        <v>2207</v>
      </c>
      <c r="F165" s="22" t="s">
        <v>2265</v>
      </c>
    </row>
    <row r="166">
      <c r="A166" s="22" t="s">
        <v>400</v>
      </c>
      <c r="B166" s="22" t="s">
        <v>255</v>
      </c>
      <c r="C166" s="22"/>
      <c r="D166" s="22" t="s">
        <v>2214</v>
      </c>
      <c r="E166" s="22" t="s">
        <v>1937</v>
      </c>
      <c r="F166" s="22" t="s">
        <v>2265</v>
      </c>
    </row>
    <row r="167">
      <c r="A167" s="22" t="s">
        <v>407</v>
      </c>
      <c r="B167" s="22" t="s">
        <v>255</v>
      </c>
      <c r="C167" s="22"/>
      <c r="D167" s="22" t="s">
        <v>2214</v>
      </c>
      <c r="E167" s="22" t="s">
        <v>2253</v>
      </c>
      <c r="F167" s="22" t="s">
        <v>2265</v>
      </c>
    </row>
    <row r="168">
      <c r="A168" s="22" t="s">
        <v>416</v>
      </c>
      <c r="B168" s="22" t="s">
        <v>255</v>
      </c>
      <c r="C168" s="22"/>
      <c r="D168" s="22" t="s">
        <v>2214</v>
      </c>
      <c r="E168" s="22" t="s">
        <v>2212</v>
      </c>
      <c r="F168" s="22" t="s">
        <v>2265</v>
      </c>
    </row>
    <row r="169">
      <c r="A169" s="22" t="s">
        <v>422</v>
      </c>
      <c r="B169" s="22" t="s">
        <v>255</v>
      </c>
      <c r="C169" s="22"/>
      <c r="D169" s="22" t="s">
        <v>2266</v>
      </c>
      <c r="E169" s="22" t="s">
        <v>1937</v>
      </c>
      <c r="F169" s="22" t="s">
        <v>2265</v>
      </c>
    </row>
    <row r="170">
      <c r="A170" s="22" t="s">
        <v>554</v>
      </c>
      <c r="B170" s="22" t="s">
        <v>255</v>
      </c>
      <c r="C170" s="22"/>
      <c r="D170" s="22" t="s">
        <v>2254</v>
      </c>
      <c r="E170" s="22" t="s">
        <v>2207</v>
      </c>
      <c r="F170" s="22" t="s">
        <v>2265</v>
      </c>
    </row>
    <row r="171">
      <c r="A171" s="22" t="s">
        <v>562</v>
      </c>
      <c r="B171" s="22" t="s">
        <v>255</v>
      </c>
      <c r="C171" s="22"/>
      <c r="D171" s="22" t="s">
        <v>2267</v>
      </c>
      <c r="E171" s="22" t="s">
        <v>1938</v>
      </c>
      <c r="F171" s="22" t="s">
        <v>2265</v>
      </c>
    </row>
    <row r="172">
      <c r="A172" s="22" t="s">
        <v>569</v>
      </c>
      <c r="B172" s="22" t="s">
        <v>255</v>
      </c>
      <c r="C172" s="22"/>
      <c r="D172" s="22" t="s">
        <v>2268</v>
      </c>
      <c r="E172" s="22" t="s">
        <v>2212</v>
      </c>
      <c r="F172" s="22" t="s">
        <v>2265</v>
      </c>
    </row>
    <row r="173">
      <c r="A173" s="22" t="s">
        <v>577</v>
      </c>
      <c r="B173" s="22" t="s">
        <v>255</v>
      </c>
      <c r="C173" s="22"/>
      <c r="D173" s="22" t="s">
        <v>2214</v>
      </c>
      <c r="E173" s="22" t="s">
        <v>2244</v>
      </c>
      <c r="F173" s="22" t="s">
        <v>2265</v>
      </c>
    </row>
    <row r="174">
      <c r="A174" s="22" t="s">
        <v>585</v>
      </c>
      <c r="B174" s="22" t="s">
        <v>255</v>
      </c>
      <c r="C174" s="22"/>
      <c r="D174" s="22" t="s">
        <v>2269</v>
      </c>
      <c r="E174" s="22" t="s">
        <v>2207</v>
      </c>
      <c r="F174" s="22" t="s">
        <v>2265</v>
      </c>
    </row>
    <row r="175">
      <c r="A175" s="22" t="s">
        <v>591</v>
      </c>
      <c r="B175" s="22" t="s">
        <v>255</v>
      </c>
      <c r="C175" s="22"/>
      <c r="D175" s="22" t="s">
        <v>2217</v>
      </c>
      <c r="E175" s="22" t="s">
        <v>2206</v>
      </c>
      <c r="F175" s="22" t="s">
        <v>2265</v>
      </c>
    </row>
    <row r="176">
      <c r="A176" s="22" t="s">
        <v>597</v>
      </c>
      <c r="B176" s="22" t="s">
        <v>255</v>
      </c>
      <c r="C176" s="22"/>
      <c r="D176" s="22" t="s">
        <v>2270</v>
      </c>
      <c r="E176" s="22" t="s">
        <v>2207</v>
      </c>
      <c r="F176" s="22" t="s">
        <v>2265</v>
      </c>
    </row>
    <row r="177">
      <c r="A177" s="22" t="s">
        <v>604</v>
      </c>
      <c r="B177" s="22" t="s">
        <v>255</v>
      </c>
      <c r="C177" s="22"/>
      <c r="D177" s="22" t="s">
        <v>2225</v>
      </c>
      <c r="E177" s="22" t="s">
        <v>2209</v>
      </c>
      <c r="F177" s="22" t="s">
        <v>2265</v>
      </c>
    </row>
    <row r="178">
      <c r="A178" s="22" t="s">
        <v>610</v>
      </c>
      <c r="B178" s="22" t="s">
        <v>255</v>
      </c>
      <c r="C178" s="22"/>
      <c r="D178" s="22" t="s">
        <v>2259</v>
      </c>
      <c r="E178" s="22" t="s">
        <v>1938</v>
      </c>
      <c r="F178" s="22" t="s">
        <v>2265</v>
      </c>
    </row>
    <row r="179">
      <c r="A179" s="22" t="s">
        <v>617</v>
      </c>
      <c r="B179" s="22" t="s">
        <v>255</v>
      </c>
      <c r="C179" s="22"/>
      <c r="D179" s="22" t="s">
        <v>2206</v>
      </c>
      <c r="E179" s="22" t="s">
        <v>2209</v>
      </c>
      <c r="F179" s="22" t="s">
        <v>2265</v>
      </c>
    </row>
    <row r="180">
      <c r="A180" s="22" t="s">
        <v>623</v>
      </c>
      <c r="B180" s="22" t="s">
        <v>255</v>
      </c>
      <c r="C180" s="22"/>
      <c r="D180" s="22" t="s">
        <v>2266</v>
      </c>
      <c r="E180" s="22" t="s">
        <v>1937</v>
      </c>
      <c r="F180" s="22" t="s">
        <v>2265</v>
      </c>
    </row>
    <row r="181">
      <c r="A181" s="22" t="s">
        <v>631</v>
      </c>
      <c r="B181" s="22" t="s">
        <v>255</v>
      </c>
      <c r="C181" s="22"/>
      <c r="D181" s="22" t="s">
        <v>2214</v>
      </c>
      <c r="E181" s="22" t="s">
        <v>2222</v>
      </c>
      <c r="F181" s="22" t="s">
        <v>2265</v>
      </c>
    </row>
    <row r="182">
      <c r="A182" s="22" t="s">
        <v>638</v>
      </c>
      <c r="B182" s="22" t="s">
        <v>255</v>
      </c>
      <c r="C182" s="22"/>
      <c r="D182" s="22" t="s">
        <v>2212</v>
      </c>
      <c r="E182" s="22" t="s">
        <v>2209</v>
      </c>
      <c r="F182" s="22" t="s">
        <v>2265</v>
      </c>
    </row>
    <row r="183">
      <c r="A183" s="22" t="s">
        <v>647</v>
      </c>
      <c r="B183" s="22" t="s">
        <v>255</v>
      </c>
      <c r="C183" s="22"/>
      <c r="D183" s="22" t="s">
        <v>2209</v>
      </c>
      <c r="E183" s="22" t="s">
        <v>1948</v>
      </c>
      <c r="F183" s="22" t="s">
        <v>2265</v>
      </c>
    </row>
    <row r="184">
      <c r="A184" s="22" t="s">
        <v>655</v>
      </c>
      <c r="B184" s="22" t="s">
        <v>255</v>
      </c>
      <c r="C184" s="22"/>
      <c r="D184" s="22" t="s">
        <v>2261</v>
      </c>
      <c r="E184" s="22" t="s">
        <v>2206</v>
      </c>
      <c r="F184" s="22" t="s">
        <v>2265</v>
      </c>
    </row>
    <row r="185">
      <c r="A185" s="22" t="s">
        <v>663</v>
      </c>
      <c r="B185" s="22" t="s">
        <v>255</v>
      </c>
      <c r="C185" s="22"/>
      <c r="D185" s="22" t="s">
        <v>1949</v>
      </c>
      <c r="E185" s="22" t="s">
        <v>2207</v>
      </c>
      <c r="F185" s="22" t="s">
        <v>2265</v>
      </c>
    </row>
    <row r="186">
      <c r="A186" s="22" t="s">
        <v>669</v>
      </c>
      <c r="B186" s="22" t="s">
        <v>255</v>
      </c>
      <c r="C186" s="22"/>
      <c r="D186" s="22" t="s">
        <v>2271</v>
      </c>
      <c r="E186" s="22" t="s">
        <v>2244</v>
      </c>
      <c r="F186" s="22" t="s">
        <v>2265</v>
      </c>
    </row>
    <row r="187">
      <c r="A187" s="22" t="s">
        <v>676</v>
      </c>
      <c r="B187" s="22" t="s">
        <v>255</v>
      </c>
      <c r="C187" s="22"/>
      <c r="D187" s="22" t="s">
        <v>2254</v>
      </c>
      <c r="E187" s="22" t="s">
        <v>1945</v>
      </c>
      <c r="F187" s="22" t="s">
        <v>2265</v>
      </c>
    </row>
    <row r="188">
      <c r="A188" s="22" t="s">
        <v>684</v>
      </c>
      <c r="B188" s="22" t="s">
        <v>255</v>
      </c>
      <c r="C188" s="22"/>
      <c r="D188" s="22" t="s">
        <v>2235</v>
      </c>
      <c r="E188" s="22" t="s">
        <v>2261</v>
      </c>
      <c r="F188" s="22" t="s">
        <v>2265</v>
      </c>
    </row>
    <row r="189">
      <c r="A189" s="22" t="s">
        <v>947</v>
      </c>
      <c r="B189" s="22" t="s">
        <v>255</v>
      </c>
      <c r="C189" s="22"/>
      <c r="D189" s="22" t="s">
        <v>1936</v>
      </c>
      <c r="E189" s="22" t="s">
        <v>1937</v>
      </c>
      <c r="F189" s="22" t="s">
        <v>2265</v>
      </c>
    </row>
    <row r="190">
      <c r="A190" s="22" t="s">
        <v>1013</v>
      </c>
      <c r="B190" s="22" t="s">
        <v>255</v>
      </c>
      <c r="C190" s="22"/>
      <c r="D190" s="22" t="s">
        <v>1936</v>
      </c>
      <c r="E190" s="22" t="s">
        <v>2209</v>
      </c>
      <c r="F190" s="22" t="s">
        <v>2265</v>
      </c>
    </row>
    <row r="191">
      <c r="A191" s="22" t="s">
        <v>1020</v>
      </c>
      <c r="B191" s="22" t="s">
        <v>255</v>
      </c>
      <c r="C191" s="22"/>
      <c r="D191" s="22" t="s">
        <v>2220</v>
      </c>
      <c r="E191" s="22" t="s">
        <v>1937</v>
      </c>
      <c r="F191" s="22" t="s">
        <v>2265</v>
      </c>
    </row>
    <row r="192">
      <c r="A192" s="22" t="s">
        <v>1024</v>
      </c>
      <c r="B192" s="22" t="s">
        <v>255</v>
      </c>
      <c r="C192" s="22"/>
      <c r="D192" s="22" t="s">
        <v>2231</v>
      </c>
      <c r="E192" s="22" t="s">
        <v>2208</v>
      </c>
      <c r="F192" s="22" t="s">
        <v>2265</v>
      </c>
    </row>
    <row r="193">
      <c r="A193" s="22" t="s">
        <v>1028</v>
      </c>
      <c r="B193" s="22" t="s">
        <v>255</v>
      </c>
      <c r="C193" s="22"/>
      <c r="D193" s="22" t="s">
        <v>2272</v>
      </c>
      <c r="E193" s="22" t="s">
        <v>2207</v>
      </c>
      <c r="F193" s="22" t="s">
        <v>2265</v>
      </c>
    </row>
    <row r="194">
      <c r="A194" s="22" t="s">
        <v>1032</v>
      </c>
      <c r="B194" s="22" t="s">
        <v>255</v>
      </c>
      <c r="C194" s="22"/>
      <c r="D194" s="22" t="s">
        <v>2214</v>
      </c>
      <c r="E194" s="22" t="s">
        <v>2209</v>
      </c>
      <c r="F194" s="22" t="s">
        <v>2265</v>
      </c>
    </row>
    <row r="195">
      <c r="A195" s="22" t="s">
        <v>1036</v>
      </c>
      <c r="B195" s="22" t="s">
        <v>255</v>
      </c>
      <c r="C195" s="22"/>
      <c r="D195" s="22" t="s">
        <v>2203</v>
      </c>
      <c r="E195" s="22" t="s">
        <v>1948</v>
      </c>
      <c r="F195" s="22" t="s">
        <v>2265</v>
      </c>
    </row>
    <row r="196">
      <c r="A196" s="22" t="s">
        <v>1041</v>
      </c>
      <c r="B196" s="22" t="s">
        <v>255</v>
      </c>
      <c r="C196" s="22"/>
      <c r="D196" s="22" t="s">
        <v>2273</v>
      </c>
      <c r="E196" s="22" t="s">
        <v>2253</v>
      </c>
      <c r="F196" s="22" t="s">
        <v>2265</v>
      </c>
    </row>
    <row r="197">
      <c r="A197" s="22" t="s">
        <v>1046</v>
      </c>
      <c r="B197" s="22" t="s">
        <v>255</v>
      </c>
      <c r="C197" s="22"/>
      <c r="D197" s="22" t="s">
        <v>2203</v>
      </c>
      <c r="E197" s="22" t="s">
        <v>1934</v>
      </c>
      <c r="F197" s="22" t="s">
        <v>2265</v>
      </c>
    </row>
    <row r="198">
      <c r="A198" s="22" t="s">
        <v>597</v>
      </c>
      <c r="B198" s="22" t="s">
        <v>255</v>
      </c>
      <c r="C198" s="22"/>
      <c r="D198" s="22" t="s">
        <v>2270</v>
      </c>
      <c r="E198" s="22" t="s">
        <v>2207</v>
      </c>
      <c r="F198" s="22" t="s">
        <v>2265</v>
      </c>
    </row>
    <row r="199">
      <c r="A199" s="22" t="s">
        <v>1055</v>
      </c>
      <c r="B199" s="22" t="s">
        <v>255</v>
      </c>
      <c r="C199" s="22"/>
      <c r="D199" s="22" t="s">
        <v>2208</v>
      </c>
      <c r="E199" s="22" t="s">
        <v>2205</v>
      </c>
      <c r="F199" s="22" t="s">
        <v>2265</v>
      </c>
    </row>
    <row r="200">
      <c r="A200" s="22" t="s">
        <v>947</v>
      </c>
      <c r="B200" s="22" t="s">
        <v>255</v>
      </c>
      <c r="C200" s="22"/>
      <c r="D200" s="22" t="s">
        <v>1936</v>
      </c>
      <c r="E200" s="22" t="s">
        <v>1937</v>
      </c>
      <c r="F200" s="22" t="s">
        <v>2265</v>
      </c>
    </row>
    <row r="201">
      <c r="A201" s="22" t="s">
        <v>1063</v>
      </c>
      <c r="B201" s="22" t="s">
        <v>255</v>
      </c>
      <c r="C201" s="22"/>
      <c r="D201" s="22" t="s">
        <v>1938</v>
      </c>
      <c r="E201" s="22" t="s">
        <v>1937</v>
      </c>
      <c r="F201" s="22" t="s">
        <v>2265</v>
      </c>
    </row>
    <row r="202">
      <c r="A202" s="22" t="s">
        <v>1067</v>
      </c>
      <c r="B202" s="22" t="s">
        <v>255</v>
      </c>
      <c r="C202" s="22"/>
      <c r="D202" s="22" t="s">
        <v>2217</v>
      </c>
      <c r="E202" s="22" t="s">
        <v>2209</v>
      </c>
      <c r="F202" s="22" t="s">
        <v>2265</v>
      </c>
    </row>
    <row r="203">
      <c r="A203" s="22" t="s">
        <v>1071</v>
      </c>
      <c r="B203" s="22" t="s">
        <v>255</v>
      </c>
      <c r="C203" s="22"/>
      <c r="D203" s="22" t="s">
        <v>2217</v>
      </c>
      <c r="E203" s="22" t="s">
        <v>2209</v>
      </c>
      <c r="F203" s="22" t="s">
        <v>2265</v>
      </c>
    </row>
    <row r="204">
      <c r="A204" s="22" t="s">
        <v>1076</v>
      </c>
      <c r="B204" s="22" t="s">
        <v>255</v>
      </c>
      <c r="C204" s="22"/>
      <c r="D204" s="22" t="s">
        <v>2218</v>
      </c>
      <c r="E204" s="22" t="s">
        <v>2254</v>
      </c>
      <c r="F204" s="22" t="s">
        <v>2265</v>
      </c>
    </row>
    <row r="205">
      <c r="A205" s="22" t="s">
        <v>554</v>
      </c>
      <c r="B205" s="22" t="s">
        <v>255</v>
      </c>
      <c r="C205" s="22"/>
      <c r="D205" s="22" t="s">
        <v>2254</v>
      </c>
      <c r="E205" s="22" t="s">
        <v>2207</v>
      </c>
      <c r="F205" s="22" t="s">
        <v>2265</v>
      </c>
    </row>
    <row r="206">
      <c r="A206" s="22" t="s">
        <v>1081</v>
      </c>
      <c r="B206" s="22" t="s">
        <v>255</v>
      </c>
      <c r="C206" s="22"/>
      <c r="D206" s="22" t="s">
        <v>2212</v>
      </c>
      <c r="E206" s="22" t="s">
        <v>1935</v>
      </c>
      <c r="F206" s="22" t="s">
        <v>2265</v>
      </c>
    </row>
    <row r="207">
      <c r="A207" s="22" t="s">
        <v>1087</v>
      </c>
      <c r="B207" s="22" t="s">
        <v>255</v>
      </c>
      <c r="C207" s="22"/>
      <c r="D207" s="22" t="s">
        <v>2274</v>
      </c>
      <c r="E207" s="22" t="s">
        <v>2275</v>
      </c>
      <c r="F207" s="22" t="s">
        <v>2265</v>
      </c>
    </row>
    <row r="208">
      <c r="A208" s="22" t="s">
        <v>1092</v>
      </c>
      <c r="B208" s="22" t="s">
        <v>255</v>
      </c>
      <c r="C208" s="22"/>
      <c r="D208" s="22" t="s">
        <v>2220</v>
      </c>
      <c r="E208" s="22" t="s">
        <v>2209</v>
      </c>
      <c r="F208" s="22" t="s">
        <v>2265</v>
      </c>
    </row>
    <row r="209">
      <c r="A209" s="22" t="s">
        <v>1095</v>
      </c>
      <c r="B209" s="22" t="s">
        <v>255</v>
      </c>
      <c r="C209" s="22"/>
      <c r="D209" s="22" t="s">
        <v>2264</v>
      </c>
      <c r="E209" s="22" t="s">
        <v>2207</v>
      </c>
      <c r="F209" s="22" t="s">
        <v>2265</v>
      </c>
    </row>
    <row r="210">
      <c r="A210" s="22" t="s">
        <v>1099</v>
      </c>
      <c r="B210" s="22" t="s">
        <v>255</v>
      </c>
      <c r="C210" s="22"/>
      <c r="D210" s="22" t="s">
        <v>2276</v>
      </c>
      <c r="E210" s="22" t="s">
        <v>2209</v>
      </c>
      <c r="F210" s="22" t="s">
        <v>2265</v>
      </c>
    </row>
    <row r="211">
      <c r="A211" s="22" t="s">
        <v>1103</v>
      </c>
      <c r="B211" s="22" t="s">
        <v>255</v>
      </c>
      <c r="C211" s="22"/>
      <c r="D211" s="22" t="s">
        <v>2244</v>
      </c>
      <c r="E211" s="22" t="s">
        <v>1937</v>
      </c>
      <c r="F211" s="22" t="s">
        <v>2265</v>
      </c>
    </row>
    <row r="212">
      <c r="A212" s="22" t="s">
        <v>1107</v>
      </c>
      <c r="B212" s="22" t="s">
        <v>255</v>
      </c>
      <c r="C212" s="22"/>
      <c r="D212" s="22" t="s">
        <v>2220</v>
      </c>
      <c r="E212" s="22" t="s">
        <v>2207</v>
      </c>
      <c r="F212" s="22" t="s">
        <v>2265</v>
      </c>
    </row>
    <row r="213">
      <c r="A213" s="22" t="s">
        <v>1111</v>
      </c>
      <c r="B213" s="22" t="s">
        <v>255</v>
      </c>
      <c r="C213" s="22"/>
      <c r="D213" s="56" t="e">
        <v>#ERROR!</v>
      </c>
      <c r="E213" s="56" t="e">
        <v>#ERROR!</v>
      </c>
      <c r="F213" s="22" t="s">
        <v>2265</v>
      </c>
    </row>
    <row r="214">
      <c r="A214" s="22" t="s">
        <v>1115</v>
      </c>
      <c r="B214" s="22" t="s">
        <v>255</v>
      </c>
      <c r="C214" s="22"/>
      <c r="D214" s="22" t="s">
        <v>2277</v>
      </c>
      <c r="E214" s="22" t="s">
        <v>2208</v>
      </c>
      <c r="F214" s="22" t="s">
        <v>2265</v>
      </c>
    </row>
    <row r="215">
      <c r="A215" s="22" t="s">
        <v>1118</v>
      </c>
      <c r="B215" s="22" t="s">
        <v>255</v>
      </c>
      <c r="C215" s="22"/>
      <c r="D215" s="56" t="e">
        <v>#ERROR!</v>
      </c>
      <c r="E215" s="56" t="e">
        <v>#ERROR!</v>
      </c>
      <c r="F215" s="22" t="s">
        <v>2265</v>
      </c>
    </row>
    <row r="216">
      <c r="A216" s="22" t="s">
        <v>1124</v>
      </c>
      <c r="B216" s="22" t="s">
        <v>255</v>
      </c>
      <c r="C216" s="22"/>
      <c r="D216" s="56" t="e">
        <v>#ERROR!</v>
      </c>
      <c r="E216" s="56" t="e">
        <v>#ERROR!</v>
      </c>
      <c r="F216" s="22" t="s">
        <v>2265</v>
      </c>
    </row>
    <row r="217">
      <c r="A217" s="22" t="s">
        <v>1127</v>
      </c>
      <c r="B217" s="22" t="s">
        <v>255</v>
      </c>
      <c r="C217" s="22"/>
      <c r="D217" s="56" t="e">
        <v>#ERROR!</v>
      </c>
      <c r="E217" s="56" t="e">
        <v>#ERROR!</v>
      </c>
      <c r="F217" s="22" t="s">
        <v>2265</v>
      </c>
    </row>
    <row r="218">
      <c r="A218" s="22" t="s">
        <v>1130</v>
      </c>
      <c r="B218" s="22" t="s">
        <v>255</v>
      </c>
      <c r="C218" s="22"/>
      <c r="D218" s="22" t="s">
        <v>2226</v>
      </c>
      <c r="E218" s="22" t="s">
        <v>1948</v>
      </c>
      <c r="F218" s="22" t="s">
        <v>2265</v>
      </c>
    </row>
    <row r="219">
      <c r="A219" s="22" t="s">
        <v>1133</v>
      </c>
      <c r="B219" s="22" t="s">
        <v>255</v>
      </c>
      <c r="C219" s="22"/>
      <c r="D219" s="22" t="s">
        <v>2261</v>
      </c>
      <c r="E219" s="22" t="s">
        <v>1933</v>
      </c>
      <c r="F219" s="22" t="s">
        <v>2265</v>
      </c>
    </row>
    <row r="220">
      <c r="A220" s="22" t="s">
        <v>1140</v>
      </c>
      <c r="B220" s="22" t="s">
        <v>255</v>
      </c>
      <c r="C220" s="22"/>
      <c r="D220" s="22" t="s">
        <v>2254</v>
      </c>
      <c r="E220" s="22" t="s">
        <v>2209</v>
      </c>
      <c r="F220" s="22" t="s">
        <v>2265</v>
      </c>
    </row>
    <row r="221">
      <c r="A221" s="22" t="s">
        <v>1146</v>
      </c>
      <c r="B221" s="22" t="s">
        <v>255</v>
      </c>
      <c r="C221" s="22"/>
      <c r="D221" s="22" t="s">
        <v>2231</v>
      </c>
      <c r="E221" s="22" t="s">
        <v>2207</v>
      </c>
      <c r="F221" s="22" t="s">
        <v>2265</v>
      </c>
    </row>
    <row r="222">
      <c r="A222" s="22" t="s">
        <v>1149</v>
      </c>
      <c r="B222" s="22" t="s">
        <v>255</v>
      </c>
      <c r="C222" s="22"/>
      <c r="D222" s="22" t="s">
        <v>2231</v>
      </c>
      <c r="E222" s="22" t="s">
        <v>2207</v>
      </c>
      <c r="F222" s="22" t="s">
        <v>2265</v>
      </c>
    </row>
    <row r="223">
      <c r="A223" s="22" t="s">
        <v>1154</v>
      </c>
      <c r="B223" s="22" t="s">
        <v>255</v>
      </c>
      <c r="C223" s="22"/>
      <c r="D223" s="22" t="s">
        <v>2278</v>
      </c>
      <c r="E223" s="22" t="s">
        <v>1936</v>
      </c>
      <c r="F223" s="22" t="s">
        <v>2265</v>
      </c>
    </row>
    <row r="224">
      <c r="A224" s="22" t="s">
        <v>1158</v>
      </c>
      <c r="B224" s="22" t="s">
        <v>255</v>
      </c>
      <c r="C224" s="22"/>
      <c r="D224" s="22" t="s">
        <v>2258</v>
      </c>
      <c r="E224" s="22" t="s">
        <v>2253</v>
      </c>
      <c r="F224" s="22" t="s">
        <v>2265</v>
      </c>
    </row>
    <row r="225">
      <c r="A225" s="22" t="s">
        <v>1162</v>
      </c>
      <c r="B225" s="22" t="s">
        <v>255</v>
      </c>
      <c r="C225" s="22"/>
      <c r="D225" s="22" t="s">
        <v>2277</v>
      </c>
      <c r="E225" s="22" t="s">
        <v>2209</v>
      </c>
      <c r="F225" s="22" t="s">
        <v>2265</v>
      </c>
    </row>
    <row r="226">
      <c r="A226" s="22" t="s">
        <v>1168</v>
      </c>
      <c r="B226" s="22" t="s">
        <v>255</v>
      </c>
      <c r="C226" s="22"/>
      <c r="D226" s="22" t="s">
        <v>1936</v>
      </c>
      <c r="E226" s="22" t="s">
        <v>1937</v>
      </c>
      <c r="F226" s="22" t="s">
        <v>2265</v>
      </c>
    </row>
    <row r="227">
      <c r="A227" s="22" t="s">
        <v>1173</v>
      </c>
      <c r="B227" s="22" t="s">
        <v>255</v>
      </c>
      <c r="C227" s="22"/>
      <c r="D227" s="22" t="s">
        <v>2220</v>
      </c>
      <c r="E227" s="22" t="s">
        <v>1945</v>
      </c>
      <c r="F227" s="22" t="s">
        <v>2265</v>
      </c>
    </row>
    <row r="228">
      <c r="A228" s="22" t="s">
        <v>1178</v>
      </c>
      <c r="B228" s="22" t="s">
        <v>255</v>
      </c>
      <c r="C228" s="22"/>
      <c r="D228" s="22" t="s">
        <v>2277</v>
      </c>
      <c r="E228" s="22" t="s">
        <v>2208</v>
      </c>
      <c r="F228" s="22" t="s">
        <v>2265</v>
      </c>
    </row>
    <row r="229">
      <c r="A229" s="22" t="s">
        <v>1182</v>
      </c>
      <c r="B229" s="22" t="s">
        <v>255</v>
      </c>
      <c r="C229" s="22"/>
      <c r="D229" s="22" t="s">
        <v>2254</v>
      </c>
      <c r="E229" s="22" t="s">
        <v>1948</v>
      </c>
      <c r="F229" s="22" t="s">
        <v>2265</v>
      </c>
    </row>
    <row r="230">
      <c r="A230" s="22" t="s">
        <v>1189</v>
      </c>
      <c r="B230" s="22" t="s">
        <v>255</v>
      </c>
      <c r="C230" s="22"/>
      <c r="D230" s="22" t="s">
        <v>2231</v>
      </c>
      <c r="E230" s="22" t="s">
        <v>2206</v>
      </c>
      <c r="F230" s="22" t="s">
        <v>2265</v>
      </c>
    </row>
    <row r="231">
      <c r="A231" s="22" t="s">
        <v>1195</v>
      </c>
      <c r="B231" s="22" t="s">
        <v>255</v>
      </c>
      <c r="C231" s="22"/>
      <c r="D231" s="22" t="s">
        <v>2224</v>
      </c>
      <c r="E231" s="22" t="s">
        <v>1948</v>
      </c>
      <c r="F231" s="22" t="s">
        <v>2265</v>
      </c>
    </row>
    <row r="232">
      <c r="A232" s="22" t="s">
        <v>1200</v>
      </c>
      <c r="B232" s="22" t="s">
        <v>255</v>
      </c>
      <c r="C232" s="22"/>
      <c r="D232" s="22" t="s">
        <v>2253</v>
      </c>
      <c r="E232" s="22" t="s">
        <v>2208</v>
      </c>
      <c r="F232" s="22" t="s">
        <v>2265</v>
      </c>
    </row>
    <row r="233">
      <c r="A233" s="22" t="s">
        <v>1205</v>
      </c>
      <c r="B233" s="22" t="s">
        <v>255</v>
      </c>
      <c r="C233" s="22"/>
      <c r="D233" s="22" t="s">
        <v>2279</v>
      </c>
      <c r="E233" s="22" t="s">
        <v>2212</v>
      </c>
      <c r="F233" s="22" t="s">
        <v>2265</v>
      </c>
    </row>
    <row r="234">
      <c r="A234" s="22" t="s">
        <v>1209</v>
      </c>
      <c r="B234" s="22" t="s">
        <v>255</v>
      </c>
      <c r="C234" s="22"/>
      <c r="D234" s="22" t="s">
        <v>2217</v>
      </c>
      <c r="E234" s="22" t="s">
        <v>2209</v>
      </c>
      <c r="F234" s="22" t="s">
        <v>2265</v>
      </c>
    </row>
    <row r="235">
      <c r="A235" s="22" t="s">
        <v>1217</v>
      </c>
      <c r="B235" s="22" t="s">
        <v>255</v>
      </c>
      <c r="C235" s="22"/>
      <c r="D235" s="22" t="s">
        <v>1949</v>
      </c>
      <c r="E235" s="22" t="s">
        <v>1937</v>
      </c>
      <c r="F235" s="22" t="s">
        <v>2265</v>
      </c>
    </row>
    <row r="236">
      <c r="A236" s="22" t="s">
        <v>1222</v>
      </c>
      <c r="B236" s="22" t="s">
        <v>255</v>
      </c>
      <c r="C236" s="22"/>
      <c r="D236" s="22" t="s">
        <v>2280</v>
      </c>
      <c r="E236" s="22" t="s">
        <v>1936</v>
      </c>
      <c r="F236" s="22" t="s">
        <v>2265</v>
      </c>
    </row>
    <row r="237">
      <c r="A237" s="22" t="s">
        <v>1228</v>
      </c>
      <c r="B237" s="22" t="s">
        <v>255</v>
      </c>
      <c r="C237" s="22"/>
      <c r="D237" s="22" t="s">
        <v>2281</v>
      </c>
      <c r="E237" s="22" t="s">
        <v>2220</v>
      </c>
      <c r="F237" s="22" t="s">
        <v>2265</v>
      </c>
    </row>
    <row r="238">
      <c r="A238" s="22" t="s">
        <v>1234</v>
      </c>
      <c r="B238" s="22" t="s">
        <v>255</v>
      </c>
      <c r="C238" s="22"/>
      <c r="D238" s="22" t="s">
        <v>2260</v>
      </c>
      <c r="E238" s="22" t="s">
        <v>2244</v>
      </c>
      <c r="F238" s="22" t="s">
        <v>2265</v>
      </c>
    </row>
    <row r="239">
      <c r="A239" s="22" t="s">
        <v>1240</v>
      </c>
      <c r="B239" s="22" t="s">
        <v>255</v>
      </c>
      <c r="C239" s="22"/>
      <c r="D239" s="22" t="s">
        <v>2262</v>
      </c>
      <c r="E239" s="22" t="s">
        <v>2207</v>
      </c>
      <c r="F239" s="22" t="s">
        <v>2265</v>
      </c>
    </row>
    <row r="240">
      <c r="A240" s="22" t="s">
        <v>1246</v>
      </c>
      <c r="B240" s="22" t="s">
        <v>255</v>
      </c>
      <c r="C240" s="22"/>
      <c r="D240" s="22" t="s">
        <v>2270</v>
      </c>
      <c r="E240" s="22" t="s">
        <v>1937</v>
      </c>
      <c r="F240" s="22" t="s">
        <v>2265</v>
      </c>
    </row>
    <row r="241">
      <c r="A241" s="22" t="s">
        <v>1251</v>
      </c>
      <c r="B241" s="22" t="s">
        <v>255</v>
      </c>
      <c r="C241" s="22"/>
      <c r="D241" s="22" t="s">
        <v>1938</v>
      </c>
      <c r="E241" s="22" t="s">
        <v>2206</v>
      </c>
      <c r="F241" s="22" t="s">
        <v>2265</v>
      </c>
    </row>
    <row r="242">
      <c r="A242" s="22" t="s">
        <v>1256</v>
      </c>
      <c r="B242" s="22" t="s">
        <v>255</v>
      </c>
      <c r="C242" s="22"/>
      <c r="D242" s="22" t="s">
        <v>2282</v>
      </c>
      <c r="E242" s="22" t="s">
        <v>1948</v>
      </c>
      <c r="F242" s="22" t="s">
        <v>2265</v>
      </c>
    </row>
    <row r="243">
      <c r="A243" s="22" t="s">
        <v>1261</v>
      </c>
      <c r="B243" s="22" t="s">
        <v>255</v>
      </c>
      <c r="C243" s="22"/>
      <c r="D243" s="22" t="s">
        <v>1936</v>
      </c>
      <c r="E243" s="22" t="s">
        <v>2209</v>
      </c>
      <c r="F243" s="22" t="s">
        <v>2265</v>
      </c>
    </row>
    <row r="244">
      <c r="A244" s="22" t="s">
        <v>1267</v>
      </c>
      <c r="B244" s="22" t="s">
        <v>255</v>
      </c>
      <c r="C244" s="22"/>
      <c r="D244" s="22" t="s">
        <v>1938</v>
      </c>
      <c r="E244" s="22" t="s">
        <v>1945</v>
      </c>
      <c r="F244" s="22" t="s">
        <v>2265</v>
      </c>
    </row>
    <row r="245">
      <c r="A245" s="22" t="s">
        <v>1273</v>
      </c>
      <c r="B245" s="22" t="s">
        <v>255</v>
      </c>
      <c r="C245" s="22"/>
      <c r="D245" s="22" t="s">
        <v>1949</v>
      </c>
      <c r="E245" s="22" t="s">
        <v>2206</v>
      </c>
      <c r="F245" s="22" t="s">
        <v>2265</v>
      </c>
    </row>
    <row r="246">
      <c r="A246" s="22" t="s">
        <v>1280</v>
      </c>
      <c r="B246" s="22" t="s">
        <v>255</v>
      </c>
      <c r="C246" s="22"/>
      <c r="D246" s="56" t="e">
        <v>#ERROR!</v>
      </c>
      <c r="E246" s="56" t="e">
        <v>#ERROR!</v>
      </c>
      <c r="F246" s="22" t="s">
        <v>2265</v>
      </c>
    </row>
    <row r="247">
      <c r="A247" s="22" t="s">
        <v>1285</v>
      </c>
      <c r="B247" s="22" t="s">
        <v>255</v>
      </c>
      <c r="C247" s="22"/>
      <c r="D247" s="22" t="s">
        <v>2254</v>
      </c>
      <c r="E247" s="22" t="s">
        <v>2206</v>
      </c>
      <c r="F247" s="22" t="s">
        <v>2265</v>
      </c>
    </row>
    <row r="248">
      <c r="A248" s="22" t="s">
        <v>1293</v>
      </c>
      <c r="B248" s="22" t="s">
        <v>255</v>
      </c>
      <c r="C248" s="22"/>
      <c r="D248" s="22" t="s">
        <v>2214</v>
      </c>
      <c r="E248" s="22" t="s">
        <v>2206</v>
      </c>
      <c r="F248" s="22" t="s">
        <v>2265</v>
      </c>
    </row>
    <row r="249">
      <c r="A249" s="22" t="s">
        <v>1298</v>
      </c>
      <c r="B249" s="22" t="s">
        <v>255</v>
      </c>
      <c r="C249" s="22"/>
      <c r="D249" s="22" t="s">
        <v>2276</v>
      </c>
      <c r="E249" s="22" t="s">
        <v>2229</v>
      </c>
      <c r="F249" s="22" t="s">
        <v>2265</v>
      </c>
    </row>
    <row r="250">
      <c r="A250" s="22" t="s">
        <v>1303</v>
      </c>
      <c r="B250" s="22" t="s">
        <v>255</v>
      </c>
      <c r="C250" s="22"/>
      <c r="D250" s="22" t="s">
        <v>2283</v>
      </c>
      <c r="E250" s="22" t="s">
        <v>1938</v>
      </c>
      <c r="F250" s="22" t="s">
        <v>2265</v>
      </c>
    </row>
    <row r="251">
      <c r="A251" s="22" t="s">
        <v>1308</v>
      </c>
      <c r="B251" s="22" t="s">
        <v>255</v>
      </c>
      <c r="C251" s="22"/>
      <c r="D251" s="22" t="s">
        <v>2273</v>
      </c>
      <c r="E251" s="22" t="s">
        <v>2226</v>
      </c>
      <c r="F251" s="22" t="s">
        <v>2265</v>
      </c>
    </row>
    <row r="252">
      <c r="A252" s="22" t="s">
        <v>1315</v>
      </c>
      <c r="B252" s="22" t="s">
        <v>255</v>
      </c>
      <c r="C252" s="22"/>
      <c r="D252" s="22" t="s">
        <v>2229</v>
      </c>
      <c r="E252" s="22" t="s">
        <v>1937</v>
      </c>
      <c r="F252" s="22" t="s">
        <v>2265</v>
      </c>
    </row>
    <row r="253">
      <c r="A253" s="22" t="s">
        <v>1320</v>
      </c>
      <c r="B253" s="22" t="s">
        <v>255</v>
      </c>
      <c r="C253" s="22"/>
      <c r="D253" s="56" t="e">
        <v>#ERROR!</v>
      </c>
      <c r="E253" s="56" t="e">
        <v>#ERROR!</v>
      </c>
      <c r="F253" s="22" t="s">
        <v>2265</v>
      </c>
    </row>
    <row r="254">
      <c r="A254" s="22" t="s">
        <v>1323</v>
      </c>
      <c r="B254" s="22" t="s">
        <v>255</v>
      </c>
      <c r="C254" s="22"/>
      <c r="D254" s="22" t="s">
        <v>1945</v>
      </c>
      <c r="E254" s="22" t="s">
        <v>2205</v>
      </c>
      <c r="F254" s="22" t="s">
        <v>2265</v>
      </c>
    </row>
    <row r="255">
      <c r="A255" s="22" t="s">
        <v>1329</v>
      </c>
      <c r="B255" s="22" t="s">
        <v>255</v>
      </c>
      <c r="C255" s="22"/>
      <c r="D255" s="22" t="s">
        <v>2225</v>
      </c>
      <c r="E255" s="22" t="s">
        <v>2206</v>
      </c>
      <c r="F255" s="22" t="s">
        <v>2265</v>
      </c>
    </row>
    <row r="256">
      <c r="A256" s="22" t="s">
        <v>1335</v>
      </c>
      <c r="B256" s="22" t="s">
        <v>255</v>
      </c>
      <c r="C256" s="22"/>
      <c r="D256" s="22" t="s">
        <v>2276</v>
      </c>
      <c r="E256" s="22" t="s">
        <v>2212</v>
      </c>
      <c r="F256" s="22" t="s">
        <v>2265</v>
      </c>
    </row>
    <row r="257">
      <c r="A257" s="22" t="s">
        <v>1341</v>
      </c>
      <c r="B257" s="22" t="s">
        <v>255</v>
      </c>
      <c r="C257" s="22"/>
      <c r="D257" s="22" t="s">
        <v>2282</v>
      </c>
      <c r="E257" s="22" t="s">
        <v>1937</v>
      </c>
      <c r="F257" s="22" t="s">
        <v>2265</v>
      </c>
    </row>
    <row r="258">
      <c r="A258" s="22" t="s">
        <v>1347</v>
      </c>
      <c r="B258" s="22" t="s">
        <v>255</v>
      </c>
      <c r="C258" s="22"/>
      <c r="D258" s="22" t="s">
        <v>2261</v>
      </c>
      <c r="E258" s="22" t="s">
        <v>1933</v>
      </c>
      <c r="F258" s="22" t="s">
        <v>2265</v>
      </c>
    </row>
    <row r="259">
      <c r="A259" s="22" t="s">
        <v>597</v>
      </c>
      <c r="B259" s="22" t="s">
        <v>255</v>
      </c>
      <c r="C259" s="22"/>
      <c r="D259" s="22" t="s">
        <v>2270</v>
      </c>
      <c r="E259" s="22" t="s">
        <v>2207</v>
      </c>
      <c r="F259" s="22" t="s">
        <v>2265</v>
      </c>
    </row>
    <row r="260">
      <c r="A260" s="22" t="s">
        <v>1360</v>
      </c>
      <c r="B260" s="22" t="s">
        <v>255</v>
      </c>
      <c r="C260" s="22"/>
      <c r="D260" s="22" t="s">
        <v>2219</v>
      </c>
      <c r="E260" s="22" t="s">
        <v>2206</v>
      </c>
      <c r="F260" s="22" t="s">
        <v>2265</v>
      </c>
    </row>
    <row r="261">
      <c r="A261" s="22" t="s">
        <v>1367</v>
      </c>
      <c r="B261" s="22" t="s">
        <v>255</v>
      </c>
      <c r="C261" s="22"/>
      <c r="D261" s="22" t="s">
        <v>2263</v>
      </c>
      <c r="E261" s="22" t="s">
        <v>2226</v>
      </c>
      <c r="F261" s="22" t="s">
        <v>2265</v>
      </c>
    </row>
    <row r="262">
      <c r="A262" s="22" t="s">
        <v>1374</v>
      </c>
      <c r="B262" s="22" t="s">
        <v>255</v>
      </c>
      <c r="C262" s="22"/>
      <c r="D262" s="22" t="s">
        <v>2208</v>
      </c>
      <c r="E262" s="22" t="s">
        <v>2205</v>
      </c>
      <c r="F262" s="22" t="s">
        <v>2265</v>
      </c>
    </row>
    <row r="263">
      <c r="A263" s="9" t="s">
        <v>1754</v>
      </c>
      <c r="B263" s="9" t="s">
        <v>61</v>
      </c>
      <c r="D263" s="9" t="s">
        <v>2284</v>
      </c>
      <c r="E263" s="9" t="s">
        <v>2284</v>
      </c>
      <c r="F263" s="25" t="s">
        <v>2210</v>
      </c>
    </row>
    <row r="264">
      <c r="A264" s="9" t="s">
        <v>1756</v>
      </c>
      <c r="B264" s="9" t="s">
        <v>243</v>
      </c>
      <c r="D264" s="9" t="s">
        <v>2285</v>
      </c>
      <c r="E264" s="9" t="s">
        <v>2285</v>
      </c>
      <c r="F264" s="25" t="s">
        <v>2251</v>
      </c>
    </row>
    <row r="265">
      <c r="A265" s="9" t="s">
        <v>1761</v>
      </c>
      <c r="B265" s="9" t="s">
        <v>61</v>
      </c>
      <c r="D265" s="9" t="s">
        <v>2203</v>
      </c>
      <c r="E265" s="9" t="s">
        <v>1934</v>
      </c>
      <c r="F265" s="9" t="s">
        <v>2210</v>
      </c>
    </row>
    <row r="266">
      <c r="A266" s="9" t="s">
        <v>1769</v>
      </c>
      <c r="B266" s="9" t="s">
        <v>61</v>
      </c>
      <c r="D266" s="9" t="s">
        <v>2264</v>
      </c>
      <c r="E266" s="9" t="s">
        <v>2266</v>
      </c>
      <c r="F266" s="9" t="s">
        <v>2210</v>
      </c>
    </row>
    <row r="267">
      <c r="A267" s="9" t="s">
        <v>1775</v>
      </c>
      <c r="B267" s="9" t="s">
        <v>61</v>
      </c>
      <c r="D267" s="9" t="s">
        <v>2264</v>
      </c>
      <c r="E267" s="9" t="s">
        <v>2266</v>
      </c>
      <c r="F267" s="9" t="s">
        <v>2210</v>
      </c>
    </row>
    <row r="268">
      <c r="A268" s="9" t="s">
        <v>1780</v>
      </c>
      <c r="B268" s="9" t="s">
        <v>61</v>
      </c>
      <c r="D268" s="9" t="s">
        <v>1936</v>
      </c>
      <c r="E268" s="9" t="s">
        <v>2212</v>
      </c>
      <c r="F268" s="9" t="s">
        <v>2210</v>
      </c>
    </row>
    <row r="269">
      <c r="A269" s="9" t="s">
        <v>1619</v>
      </c>
      <c r="B269" s="9" t="s">
        <v>61</v>
      </c>
      <c r="D269" s="9" t="s">
        <v>1945</v>
      </c>
      <c r="E269" s="9" t="s">
        <v>1934</v>
      </c>
      <c r="F269" s="9" t="s">
        <v>2210</v>
      </c>
    </row>
    <row r="270">
      <c r="A270" s="9" t="s">
        <v>1791</v>
      </c>
      <c r="B270" s="9" t="s">
        <v>61</v>
      </c>
      <c r="D270" s="9" t="s">
        <v>2209</v>
      </c>
      <c r="E270" s="9" t="s">
        <v>1938</v>
      </c>
      <c r="F270" s="9" t="s">
        <v>2210</v>
      </c>
    </row>
    <row r="271">
      <c r="A271" s="9" t="s">
        <v>1799</v>
      </c>
      <c r="B271" s="9" t="s">
        <v>61</v>
      </c>
      <c r="D271" s="9" t="s">
        <v>1948</v>
      </c>
      <c r="E271" s="9" t="s">
        <v>2205</v>
      </c>
      <c r="F271" s="9" t="s">
        <v>2210</v>
      </c>
    </row>
    <row r="272">
      <c r="A272" s="9" t="s">
        <v>1652</v>
      </c>
      <c r="B272" s="9" t="s">
        <v>61</v>
      </c>
      <c r="D272" s="9" t="s">
        <v>1933</v>
      </c>
      <c r="E272" s="9" t="s">
        <v>1934</v>
      </c>
      <c r="F272" s="9" t="s">
        <v>2210</v>
      </c>
    </row>
    <row r="273">
      <c r="A273" s="9" t="s">
        <v>1810</v>
      </c>
      <c r="B273" s="9" t="s">
        <v>61</v>
      </c>
      <c r="D273" s="9" t="s">
        <v>1938</v>
      </c>
      <c r="E273" s="9" t="s">
        <v>2212</v>
      </c>
      <c r="F273" s="9" t="s">
        <v>2210</v>
      </c>
    </row>
    <row r="274">
      <c r="A274" s="9" t="s">
        <v>820</v>
      </c>
      <c r="B274" s="9" t="s">
        <v>406</v>
      </c>
      <c r="D274" s="9" t="s">
        <v>2219</v>
      </c>
      <c r="E274" s="9" t="s">
        <v>2220</v>
      </c>
      <c r="F274" s="9" t="s">
        <v>2210</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10" max="10" width="21.0"/>
  </cols>
  <sheetData>
    <row r="1">
      <c r="A1" s="20" t="s">
        <v>200</v>
      </c>
      <c r="B1" s="20" t="s">
        <v>201</v>
      </c>
      <c r="C1" s="20" t="s">
        <v>202</v>
      </c>
      <c r="D1" s="20" t="s">
        <v>203</v>
      </c>
      <c r="E1" s="20" t="s">
        <v>204</v>
      </c>
      <c r="F1" s="20" t="s">
        <v>205</v>
      </c>
      <c r="G1" s="20" t="s">
        <v>206</v>
      </c>
      <c r="H1" s="20" t="s">
        <v>207</v>
      </c>
      <c r="I1" s="20" t="s">
        <v>208</v>
      </c>
      <c r="J1" s="20" t="s">
        <v>209</v>
      </c>
      <c r="K1" s="9" t="s">
        <v>210</v>
      </c>
      <c r="L1" s="9" t="s">
        <v>211</v>
      </c>
      <c r="M1" s="9" t="s">
        <v>212</v>
      </c>
      <c r="N1" s="9" t="s">
        <v>213</v>
      </c>
    </row>
    <row r="2">
      <c r="A2" s="35" t="s">
        <v>857</v>
      </c>
      <c r="B2" s="26" t="s">
        <v>266</v>
      </c>
      <c r="C2" s="26" t="s">
        <v>1381</v>
      </c>
      <c r="D2" s="43" t="s">
        <v>470</v>
      </c>
      <c r="E2" s="26" t="s">
        <v>1382</v>
      </c>
      <c r="F2" s="26" t="s">
        <v>1383</v>
      </c>
      <c r="G2" s="26" t="s">
        <v>1384</v>
      </c>
      <c r="H2" s="26" t="s">
        <v>1385</v>
      </c>
      <c r="I2" s="26" t="s">
        <v>861</v>
      </c>
      <c r="J2" s="26" t="s">
        <v>862</v>
      </c>
      <c r="K2" s="9">
        <v>40.6490843</v>
      </c>
      <c r="L2" s="9">
        <v>14.6113693</v>
      </c>
      <c r="M2" s="29" t="str">
        <f t="shared" ref="M2:M19" si="1">HYPERLINK("https://www.google.com/maps/search/"&amp;ENCODEURL(A2&amp;", Ravello, Italy"))</f>
        <v>https://www.google.com/maps/search/Villa%20Rufolo%2C%20Ravello%2C%20Italy</v>
      </c>
      <c r="N2" s="6" t="s">
        <v>2286</v>
      </c>
    </row>
    <row r="3">
      <c r="A3" s="35" t="s">
        <v>1388</v>
      </c>
      <c r="B3" s="26" t="s">
        <v>266</v>
      </c>
      <c r="C3" s="26" t="s">
        <v>1381</v>
      </c>
      <c r="D3" s="43" t="s">
        <v>1164</v>
      </c>
      <c r="E3" s="26" t="s">
        <v>1389</v>
      </c>
      <c r="F3" s="26" t="s">
        <v>1390</v>
      </c>
      <c r="G3" s="26" t="s">
        <v>1391</v>
      </c>
      <c r="H3" s="26" t="s">
        <v>1392</v>
      </c>
      <c r="I3" s="26" t="s">
        <v>868</v>
      </c>
      <c r="J3" s="26" t="s">
        <v>869</v>
      </c>
      <c r="K3" s="9">
        <v>40.644269</v>
      </c>
      <c r="L3" s="9">
        <v>14.611034</v>
      </c>
      <c r="M3" s="29" t="str">
        <f t="shared" si="1"/>
        <v>https://www.google.com/maps/search/Villa%20Cimbrone%20%26%20Terrace%20of%20Infinity%2C%20Ravello%2C%20Italy</v>
      </c>
      <c r="N3" s="6" t="s">
        <v>2287</v>
      </c>
    </row>
    <row r="4">
      <c r="A4" s="35" t="s">
        <v>1393</v>
      </c>
      <c r="B4" s="26" t="s">
        <v>266</v>
      </c>
      <c r="C4" s="26" t="s">
        <v>586</v>
      </c>
      <c r="D4" s="43" t="s">
        <v>571</v>
      </c>
      <c r="E4" s="26" t="s">
        <v>1394</v>
      </c>
      <c r="F4" s="26" t="s">
        <v>1395</v>
      </c>
      <c r="G4" s="26" t="s">
        <v>1396</v>
      </c>
      <c r="H4" s="26" t="s">
        <v>1397</v>
      </c>
      <c r="I4" s="26" t="s">
        <v>874</v>
      </c>
      <c r="J4" s="26" t="s">
        <v>476</v>
      </c>
      <c r="K4" s="9">
        <v>40.6491825</v>
      </c>
      <c r="L4" s="9">
        <v>14.6116481</v>
      </c>
      <c r="M4" s="29" t="str">
        <f t="shared" si="1"/>
        <v>https://www.google.com/maps/search/Piazza%20Duomo%2C%20Ravello%2C%20Italy</v>
      </c>
      <c r="N4" s="6" t="s">
        <v>2288</v>
      </c>
    </row>
    <row r="5">
      <c r="A5" s="35" t="s">
        <v>1398</v>
      </c>
      <c r="B5" s="26" t="s">
        <v>266</v>
      </c>
      <c r="C5" s="26" t="s">
        <v>1399</v>
      </c>
      <c r="D5" s="43" t="s">
        <v>571</v>
      </c>
      <c r="E5" s="26" t="s">
        <v>1400</v>
      </c>
      <c r="F5" s="26" t="s">
        <v>1401</v>
      </c>
      <c r="G5" s="26" t="s">
        <v>766</v>
      </c>
      <c r="H5" s="26" t="s">
        <v>1402</v>
      </c>
      <c r="I5" s="26" t="s">
        <v>874</v>
      </c>
      <c r="J5" s="26" t="s">
        <v>476</v>
      </c>
      <c r="K5" s="9">
        <v>40.6491825</v>
      </c>
      <c r="L5" s="9">
        <v>14.6116481</v>
      </c>
      <c r="M5" s="29" t="str">
        <f t="shared" si="1"/>
        <v>https://www.google.com/maps/search/Duomo%20%26%20Museum%2C%20Ravello%2C%20Italy</v>
      </c>
      <c r="N5" s="6" t="s">
        <v>2289</v>
      </c>
    </row>
    <row r="6">
      <c r="A6" s="35" t="s">
        <v>1403</v>
      </c>
      <c r="B6" s="26" t="s">
        <v>266</v>
      </c>
      <c r="C6" s="26" t="s">
        <v>1404</v>
      </c>
      <c r="D6" s="43" t="s">
        <v>1164</v>
      </c>
      <c r="E6" s="26" t="s">
        <v>1405</v>
      </c>
      <c r="F6" s="26" t="s">
        <v>1406</v>
      </c>
      <c r="G6" s="26" t="s">
        <v>1396</v>
      </c>
      <c r="H6" s="26" t="s">
        <v>1139</v>
      </c>
      <c r="I6" s="26" t="s">
        <v>1407</v>
      </c>
      <c r="J6" s="26" t="s">
        <v>1408</v>
      </c>
      <c r="K6" s="9">
        <v>40.6504711</v>
      </c>
      <c r="L6" s="9">
        <v>14.6130187</v>
      </c>
      <c r="M6" s="29" t="str">
        <f t="shared" si="1"/>
        <v>https://www.google.com/maps/search/Belvedere%20Principessa%20di%20Piemonte%2C%20Ravello%2C%20Italy</v>
      </c>
      <c r="N6" s="6" t="s">
        <v>2290</v>
      </c>
    </row>
    <row r="7">
      <c r="A7" s="35" t="s">
        <v>1409</v>
      </c>
      <c r="B7" s="26" t="s">
        <v>266</v>
      </c>
      <c r="C7" s="26" t="s">
        <v>1410</v>
      </c>
      <c r="D7" s="43" t="s">
        <v>390</v>
      </c>
      <c r="E7" s="26" t="s">
        <v>1411</v>
      </c>
      <c r="F7" s="26" t="s">
        <v>1412</v>
      </c>
      <c r="G7" s="26" t="s">
        <v>1167</v>
      </c>
      <c r="H7" s="26" t="s">
        <v>1413</v>
      </c>
      <c r="I7" s="26" t="s">
        <v>1414</v>
      </c>
      <c r="J7" s="26" t="s">
        <v>1415</v>
      </c>
      <c r="K7" s="9">
        <v>40.6498302</v>
      </c>
      <c r="L7" s="9">
        <v>14.6128463</v>
      </c>
      <c r="M7" s="29" t="str">
        <f t="shared" si="1"/>
        <v>https://www.google.com/maps/search/Hotel%20Villa%20Fraulo%2C%20Ravello%2C%20Italy</v>
      </c>
      <c r="N7" s="6" t="s">
        <v>2291</v>
      </c>
    </row>
    <row r="8">
      <c r="A8" s="35" t="s">
        <v>1416</v>
      </c>
      <c r="B8" s="26" t="s">
        <v>266</v>
      </c>
      <c r="C8" s="26" t="s">
        <v>1410</v>
      </c>
      <c r="D8" s="43" t="s">
        <v>390</v>
      </c>
      <c r="E8" s="26" t="s">
        <v>1417</v>
      </c>
      <c r="F8" s="26" t="s">
        <v>1418</v>
      </c>
      <c r="G8" s="26" t="s">
        <v>1167</v>
      </c>
      <c r="H8" s="26" t="s">
        <v>1419</v>
      </c>
      <c r="I8" s="26" t="s">
        <v>1420</v>
      </c>
      <c r="J8" s="26" t="s">
        <v>1421</v>
      </c>
      <c r="K8" s="9">
        <v>40.6520195</v>
      </c>
      <c r="L8" s="9">
        <v>14.6146212</v>
      </c>
      <c r="M8" s="29" t="str">
        <f t="shared" si="1"/>
        <v>https://www.google.com/maps/search/Villa%20Piedimonte%2C%20Ravello%2C%20Italy</v>
      </c>
      <c r="N8" s="6" t="s">
        <v>2292</v>
      </c>
    </row>
    <row r="9">
      <c r="A9" s="35" t="s">
        <v>1422</v>
      </c>
      <c r="B9" s="26" t="s">
        <v>266</v>
      </c>
      <c r="C9" s="26" t="s">
        <v>1423</v>
      </c>
      <c r="D9" s="43" t="s">
        <v>390</v>
      </c>
      <c r="E9" s="26" t="s">
        <v>1424</v>
      </c>
      <c r="F9" s="26" t="s">
        <v>1425</v>
      </c>
      <c r="G9" s="26" t="s">
        <v>1167</v>
      </c>
      <c r="H9" s="26" t="s">
        <v>1426</v>
      </c>
      <c r="I9" s="26" t="s">
        <v>1427</v>
      </c>
      <c r="J9" s="26" t="s">
        <v>460</v>
      </c>
      <c r="K9" s="9">
        <v>40.6514101</v>
      </c>
      <c r="L9" s="9">
        <v>14.6129723</v>
      </c>
      <c r="M9" s="29" t="str">
        <f t="shared" si="1"/>
        <v>https://www.google.com/maps/search/Caruso%20A%20Belmond%20Hotel%2C%20Ravello%2C%20Italy</v>
      </c>
      <c r="N9" s="6" t="s">
        <v>2293</v>
      </c>
    </row>
    <row r="10">
      <c r="A10" s="35" t="s">
        <v>802</v>
      </c>
      <c r="B10" s="26" t="s">
        <v>266</v>
      </c>
      <c r="C10" s="26" t="s">
        <v>1423</v>
      </c>
      <c r="D10" s="43" t="s">
        <v>390</v>
      </c>
      <c r="E10" s="26" t="s">
        <v>1428</v>
      </c>
      <c r="F10" s="26" t="s">
        <v>1429</v>
      </c>
      <c r="G10" s="26" t="s">
        <v>1167</v>
      </c>
      <c r="H10" s="26" t="s">
        <v>1430</v>
      </c>
      <c r="I10" s="26" t="s">
        <v>805</v>
      </c>
      <c r="J10" s="26" t="s">
        <v>806</v>
      </c>
      <c r="K10" s="9">
        <v>40.6508871</v>
      </c>
      <c r="L10" s="9">
        <v>14.6129698</v>
      </c>
      <c r="M10" s="29" t="str">
        <f t="shared" si="1"/>
        <v>https://www.google.com/maps/search/Palazzo%20Avino%2C%20Ravello%2C%20Italy</v>
      </c>
      <c r="N10" s="6" t="s">
        <v>2294</v>
      </c>
    </row>
    <row r="11">
      <c r="A11" s="35" t="s">
        <v>1431</v>
      </c>
      <c r="B11" s="26" t="s">
        <v>266</v>
      </c>
      <c r="C11" s="26" t="s">
        <v>1432</v>
      </c>
      <c r="D11" s="43" t="s">
        <v>390</v>
      </c>
      <c r="E11" s="26" t="s">
        <v>1433</v>
      </c>
      <c r="F11" s="26" t="s">
        <v>1434</v>
      </c>
      <c r="G11" s="26" t="s">
        <v>1167</v>
      </c>
      <c r="H11" s="26" t="s">
        <v>1435</v>
      </c>
      <c r="I11" s="26" t="s">
        <v>1436</v>
      </c>
      <c r="J11" s="26" t="s">
        <v>1437</v>
      </c>
      <c r="K11" s="9">
        <v>40.6538344</v>
      </c>
      <c r="L11" s="9">
        <v>14.613053</v>
      </c>
      <c r="M11" s="29" t="str">
        <f t="shared" si="1"/>
        <v>https://www.google.com/maps/search/La%20Moresca%2C%20Ravello%2C%20Italy</v>
      </c>
      <c r="N11" s="6" t="s">
        <v>2295</v>
      </c>
    </row>
    <row r="12">
      <c r="A12" s="35" t="s">
        <v>1438</v>
      </c>
      <c r="B12" s="26" t="s">
        <v>266</v>
      </c>
      <c r="C12" s="26" t="s">
        <v>1423</v>
      </c>
      <c r="D12" s="43" t="s">
        <v>390</v>
      </c>
      <c r="E12" s="26" t="s">
        <v>1439</v>
      </c>
      <c r="F12" s="26" t="s">
        <v>1440</v>
      </c>
      <c r="G12" s="26" t="s">
        <v>1167</v>
      </c>
      <c r="H12" s="26" t="s">
        <v>1441</v>
      </c>
      <c r="I12" s="26" t="s">
        <v>868</v>
      </c>
      <c r="J12" s="26" t="s">
        <v>869</v>
      </c>
      <c r="K12" s="9">
        <v>40.644269</v>
      </c>
      <c r="L12" s="9">
        <v>14.611034</v>
      </c>
      <c r="M12" s="29" t="str">
        <f t="shared" si="1"/>
        <v>https://www.google.com/maps/search/Villa%20Cimbrone%20Hotel%2C%20Ravello%2C%20Italy</v>
      </c>
      <c r="N12" s="6" t="s">
        <v>2296</v>
      </c>
    </row>
    <row r="13">
      <c r="A13" s="35" t="s">
        <v>1442</v>
      </c>
      <c r="B13" s="26" t="s">
        <v>266</v>
      </c>
      <c r="C13" s="26" t="s">
        <v>1443</v>
      </c>
      <c r="D13" s="43" t="s">
        <v>521</v>
      </c>
      <c r="E13" s="26" t="s">
        <v>1444</v>
      </c>
      <c r="F13" s="26" t="s">
        <v>1445</v>
      </c>
      <c r="G13" s="26" t="s">
        <v>614</v>
      </c>
      <c r="H13" s="26" t="s">
        <v>1446</v>
      </c>
      <c r="I13" s="26" t="s">
        <v>1447</v>
      </c>
      <c r="J13" s="26" t="s">
        <v>1448</v>
      </c>
      <c r="K13" s="9">
        <v>40.6505182</v>
      </c>
      <c r="L13" s="9">
        <v>14.6114701</v>
      </c>
      <c r="M13" s="29" t="str">
        <f t="shared" si="1"/>
        <v>https://www.google.com/maps/search/Cumpa%20Cosimo%2C%20Ravello%2C%20Italy</v>
      </c>
      <c r="N13" s="6" t="s">
        <v>2297</v>
      </c>
    </row>
    <row r="14">
      <c r="A14" s="35" t="s">
        <v>1449</v>
      </c>
      <c r="B14" s="26" t="s">
        <v>266</v>
      </c>
      <c r="C14" s="26" t="s">
        <v>345</v>
      </c>
      <c r="D14" s="43" t="s">
        <v>291</v>
      </c>
      <c r="E14" s="26" t="s">
        <v>1450</v>
      </c>
      <c r="F14" s="26" t="s">
        <v>1451</v>
      </c>
      <c r="G14" s="26" t="s">
        <v>1452</v>
      </c>
      <c r="H14" s="26" t="s">
        <v>1453</v>
      </c>
      <c r="I14" s="26" t="s">
        <v>1454</v>
      </c>
      <c r="J14" s="26" t="s">
        <v>1455</v>
      </c>
      <c r="K14" s="9">
        <v>40.6489113</v>
      </c>
      <c r="L14" s="9">
        <v>14.6132092</v>
      </c>
      <c r="M14" s="29" t="str">
        <f t="shared" si="1"/>
        <v>https://www.google.com/maps/search/Garden%20Ravelo%20Restaurant%2C%20Ravello%2C%20Italy</v>
      </c>
      <c r="N14" s="6" t="s">
        <v>2298</v>
      </c>
    </row>
    <row r="15">
      <c r="A15" s="35" t="s">
        <v>1456</v>
      </c>
      <c r="B15" s="26" t="s">
        <v>266</v>
      </c>
      <c r="C15" s="26" t="s">
        <v>302</v>
      </c>
      <c r="D15" s="43" t="s">
        <v>291</v>
      </c>
      <c r="E15" s="26" t="s">
        <v>1457</v>
      </c>
      <c r="F15" s="26" t="s">
        <v>1458</v>
      </c>
      <c r="G15" s="26" t="s">
        <v>1459</v>
      </c>
      <c r="H15" s="26" t="s">
        <v>1460</v>
      </c>
      <c r="I15" s="26" t="s">
        <v>1461</v>
      </c>
      <c r="J15" s="26" t="s">
        <v>1462</v>
      </c>
      <c r="K15" s="9">
        <v>40.6495303</v>
      </c>
      <c r="L15" s="9">
        <v>14.6137005</v>
      </c>
      <c r="M15" s="29" t="str">
        <f t="shared" si="1"/>
        <v>https://www.google.com/maps/search/Salvatore%20Ravello%201958%2C%20Ravello%2C%20Italy</v>
      </c>
      <c r="N15" s="6" t="s">
        <v>2299</v>
      </c>
    </row>
    <row r="16">
      <c r="A16" s="35" t="s">
        <v>812</v>
      </c>
      <c r="B16" s="26" t="s">
        <v>266</v>
      </c>
      <c r="C16" s="26" t="s">
        <v>1463</v>
      </c>
      <c r="D16" s="43" t="s">
        <v>605</v>
      </c>
      <c r="E16" s="26" t="s">
        <v>1464</v>
      </c>
      <c r="F16" s="26" t="s">
        <v>1465</v>
      </c>
      <c r="G16" s="26" t="s">
        <v>1459</v>
      </c>
      <c r="H16" s="26" t="s">
        <v>1466</v>
      </c>
      <c r="I16" s="26" t="s">
        <v>805</v>
      </c>
      <c r="J16" s="26" t="s">
        <v>806</v>
      </c>
      <c r="K16" s="9">
        <v>40.6508871</v>
      </c>
      <c r="L16" s="9">
        <v>14.6129698</v>
      </c>
      <c r="M16" s="29" t="str">
        <f t="shared" si="1"/>
        <v>https://www.google.com/maps/search/Rossellini%27s%2C%20Ravello%2C%20Italy</v>
      </c>
      <c r="N16" s="6" t="s">
        <v>2300</v>
      </c>
    </row>
    <row r="17">
      <c r="A17" s="35" t="s">
        <v>1467</v>
      </c>
      <c r="B17" s="26" t="s">
        <v>266</v>
      </c>
      <c r="C17" s="26" t="s">
        <v>1104</v>
      </c>
      <c r="D17" s="43" t="s">
        <v>270</v>
      </c>
      <c r="E17" s="26" t="s">
        <v>1468</v>
      </c>
      <c r="F17" s="26" t="s">
        <v>1469</v>
      </c>
      <c r="G17" s="26" t="s">
        <v>1470</v>
      </c>
      <c r="H17" s="26" t="s">
        <v>1471</v>
      </c>
      <c r="I17" s="26" t="s">
        <v>1472</v>
      </c>
      <c r="J17" s="26" t="s">
        <v>1473</v>
      </c>
      <c r="K17" s="9">
        <v>40.6499964</v>
      </c>
      <c r="L17" s="9">
        <v>14.6110882</v>
      </c>
      <c r="M17" s="29" t="str">
        <f t="shared" si="1"/>
        <v>https://www.google.com/maps/search/Enotavola%20Wine%20Bar%2C%20Ravello%2C%20Italy</v>
      </c>
      <c r="N17" s="6" t="s">
        <v>2301</v>
      </c>
    </row>
    <row r="18">
      <c r="A18" s="35" t="s">
        <v>1474</v>
      </c>
      <c r="B18" s="26" t="s">
        <v>266</v>
      </c>
      <c r="C18" s="26" t="s">
        <v>1475</v>
      </c>
      <c r="D18" s="43" t="s">
        <v>1476</v>
      </c>
      <c r="E18" s="26" t="s">
        <v>1477</v>
      </c>
      <c r="F18" s="26" t="s">
        <v>1478</v>
      </c>
      <c r="G18" s="26" t="s">
        <v>1479</v>
      </c>
      <c r="H18" s="26" t="s">
        <v>1480</v>
      </c>
      <c r="I18" s="26" t="s">
        <v>874</v>
      </c>
      <c r="J18" s="26" t="s">
        <v>476</v>
      </c>
      <c r="K18" s="9">
        <v>40.6491825</v>
      </c>
      <c r="L18" s="9">
        <v>14.6116481</v>
      </c>
      <c r="M18" s="29" t="str">
        <f t="shared" si="1"/>
        <v>https://www.google.com/maps/search/Ravello%20Concert%20Society%2C%20Ravello%2C%20Italy</v>
      </c>
      <c r="N18" s="6" t="s">
        <v>2302</v>
      </c>
    </row>
    <row r="19">
      <c r="A19" s="35" t="s">
        <v>1481</v>
      </c>
      <c r="B19" s="26" t="s">
        <v>266</v>
      </c>
      <c r="C19" s="26" t="s">
        <v>1174</v>
      </c>
      <c r="D19" s="43" t="s">
        <v>657</v>
      </c>
      <c r="E19" s="26" t="s">
        <v>1482</v>
      </c>
      <c r="F19" s="26" t="s">
        <v>1483</v>
      </c>
      <c r="G19" s="26" t="s">
        <v>1484</v>
      </c>
      <c r="H19" s="26" t="s">
        <v>1485</v>
      </c>
      <c r="I19" s="26" t="s">
        <v>939</v>
      </c>
      <c r="J19" s="26" t="s">
        <v>484</v>
      </c>
      <c r="K19" s="9">
        <v>40.6515802</v>
      </c>
      <c r="L19" s="9">
        <v>14.6140606</v>
      </c>
      <c r="M19" s="29" t="str">
        <f t="shared" si="1"/>
        <v>https://www.google.com/maps/search/Local%20Artisan%20Shops%2C%20Ravello%2C%20Italy</v>
      </c>
      <c r="N19" s="6" t="s">
        <v>2303</v>
      </c>
    </row>
  </sheetData>
  <hyperlinks>
    <hyperlink r:id="rId1" ref="N2"/>
    <hyperlink r:id="rId2" ref="N3"/>
    <hyperlink r:id="rId3" ref="N4"/>
    <hyperlink r:id="rId4"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s>
  <drawing r:id="rId19"/>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9" max="9" width="33.25"/>
  </cols>
  <sheetData>
    <row r="1">
      <c r="A1" s="20" t="s">
        <v>200</v>
      </c>
      <c r="B1" s="20" t="s">
        <v>201</v>
      </c>
      <c r="C1" s="20" t="s">
        <v>202</v>
      </c>
      <c r="D1" s="20" t="s">
        <v>203</v>
      </c>
      <c r="E1" s="20" t="s">
        <v>204</v>
      </c>
      <c r="F1" s="20" t="s">
        <v>205</v>
      </c>
      <c r="G1" s="20" t="s">
        <v>206</v>
      </c>
      <c r="H1" s="20" t="s">
        <v>207</v>
      </c>
      <c r="I1" s="20" t="s">
        <v>2304</v>
      </c>
      <c r="J1" s="20" t="s">
        <v>2305</v>
      </c>
      <c r="K1" s="9" t="s">
        <v>208</v>
      </c>
      <c r="L1" s="9" t="s">
        <v>209</v>
      </c>
      <c r="M1" s="9" t="s">
        <v>210</v>
      </c>
      <c r="N1" s="9" t="s">
        <v>211</v>
      </c>
      <c r="O1" s="9" t="s">
        <v>212</v>
      </c>
    </row>
    <row r="2">
      <c r="A2" s="35" t="s">
        <v>1486</v>
      </c>
      <c r="B2" s="26" t="s">
        <v>50</v>
      </c>
      <c r="C2" s="26" t="s">
        <v>133</v>
      </c>
      <c r="D2" s="43" t="s">
        <v>390</v>
      </c>
      <c r="E2" s="26" t="s">
        <v>1487</v>
      </c>
      <c r="F2" s="26" t="s">
        <v>1488</v>
      </c>
      <c r="G2" s="26" t="s">
        <v>1016</v>
      </c>
      <c r="H2" s="26" t="s">
        <v>1489</v>
      </c>
      <c r="I2" s="26" t="s">
        <v>2306</v>
      </c>
      <c r="J2" s="26" t="s">
        <v>2307</v>
      </c>
      <c r="K2" s="9" t="s">
        <v>1490</v>
      </c>
      <c r="L2" s="9" t="s">
        <v>1491</v>
      </c>
      <c r="M2" s="9">
        <v>40.6164155</v>
      </c>
      <c r="N2" s="9">
        <v>14.5218464</v>
      </c>
      <c r="O2" s="29" t="str">
        <f t="shared" ref="O2:O44" si="1">HYPERLINK("https://www.google.com/maps/search/"&amp;ENCODEURL(A2&amp;", "&amp;B2&amp;", Italy"))</f>
        <v>https://www.google.com/maps/search/Hotel%20Pellegrino%2C%20Praiano%2C%20Italy</v>
      </c>
    </row>
    <row r="3">
      <c r="A3" s="35" t="s">
        <v>1493</v>
      </c>
      <c r="B3" s="26" t="s">
        <v>50</v>
      </c>
      <c r="C3" s="26" t="s">
        <v>133</v>
      </c>
      <c r="D3" s="43" t="s">
        <v>390</v>
      </c>
      <c r="E3" s="26" t="s">
        <v>1494</v>
      </c>
      <c r="F3" s="26" t="s">
        <v>1495</v>
      </c>
      <c r="G3" s="26" t="s">
        <v>1016</v>
      </c>
      <c r="H3" s="26" t="s">
        <v>1496</v>
      </c>
      <c r="I3" s="26" t="s">
        <v>2308</v>
      </c>
      <c r="J3" s="26" t="s">
        <v>2307</v>
      </c>
      <c r="K3" s="9" t="s">
        <v>1497</v>
      </c>
      <c r="L3" s="9" t="s">
        <v>1498</v>
      </c>
      <c r="M3" s="9">
        <v>40.6099533</v>
      </c>
      <c r="N3" s="9">
        <v>14.5299799</v>
      </c>
      <c r="O3" s="29" t="str">
        <f t="shared" si="1"/>
        <v>https://www.google.com/maps/search/Hotel%20Margherita%2C%20Praiano%2C%20Italy</v>
      </c>
    </row>
    <row r="4">
      <c r="A4" s="35" t="s">
        <v>51</v>
      </c>
      <c r="B4" s="26" t="s">
        <v>50</v>
      </c>
      <c r="C4" s="26" t="s">
        <v>133</v>
      </c>
      <c r="D4" s="43" t="s">
        <v>390</v>
      </c>
      <c r="E4" s="26" t="s">
        <v>1499</v>
      </c>
      <c r="F4" s="26" t="s">
        <v>1500</v>
      </c>
      <c r="G4" s="26" t="s">
        <v>1016</v>
      </c>
      <c r="H4" s="26" t="s">
        <v>1501</v>
      </c>
      <c r="I4" s="26" t="s">
        <v>2309</v>
      </c>
      <c r="J4" s="26" t="s">
        <v>2307</v>
      </c>
      <c r="K4" s="9" t="s">
        <v>1502</v>
      </c>
      <c r="L4" s="9" t="s">
        <v>1503</v>
      </c>
      <c r="M4" s="9">
        <v>40.6144834</v>
      </c>
      <c r="N4" s="9">
        <v>14.5217222</v>
      </c>
      <c r="O4" s="29" t="str">
        <f t="shared" si="1"/>
        <v>https://www.google.com/maps/search/Casa%20Angelina%2C%20Praiano%2C%20Italy</v>
      </c>
    </row>
    <row r="5">
      <c r="A5" s="35" t="s">
        <v>1504</v>
      </c>
      <c r="B5" s="26" t="s">
        <v>50</v>
      </c>
      <c r="C5" s="26" t="s">
        <v>133</v>
      </c>
      <c r="D5" s="43" t="s">
        <v>390</v>
      </c>
      <c r="E5" s="26" t="s">
        <v>1505</v>
      </c>
      <c r="F5" s="26" t="s">
        <v>1506</v>
      </c>
      <c r="G5" s="26" t="s">
        <v>1016</v>
      </c>
      <c r="H5" s="26" t="s">
        <v>1507</v>
      </c>
      <c r="I5" s="26" t="s">
        <v>1508</v>
      </c>
      <c r="J5" s="26" t="s">
        <v>2307</v>
      </c>
      <c r="K5" s="9" t="s">
        <v>1508</v>
      </c>
      <c r="L5" s="9" t="s">
        <v>1509</v>
      </c>
      <c r="M5" s="9">
        <v>40.6125079</v>
      </c>
      <c r="N5" s="9">
        <v>14.538385</v>
      </c>
      <c r="O5" s="29" t="str">
        <f t="shared" si="1"/>
        <v>https://www.google.com/maps/search/Hotel%20Onda%20Verde%2C%20Praiano%2C%20Italy</v>
      </c>
    </row>
    <row r="6">
      <c r="A6" s="35" t="s">
        <v>1510</v>
      </c>
      <c r="B6" s="26" t="s">
        <v>50</v>
      </c>
      <c r="C6" s="26" t="s">
        <v>133</v>
      </c>
      <c r="D6" s="43" t="s">
        <v>390</v>
      </c>
      <c r="E6" s="26" t="s">
        <v>1511</v>
      </c>
      <c r="F6" s="26" t="s">
        <v>1512</v>
      </c>
      <c r="G6" s="26" t="s">
        <v>1016</v>
      </c>
      <c r="H6" s="26" t="s">
        <v>1513</v>
      </c>
      <c r="I6" s="26" t="s">
        <v>1514</v>
      </c>
      <c r="J6" s="26" t="s">
        <v>2307</v>
      </c>
      <c r="K6" s="9" t="s">
        <v>1514</v>
      </c>
      <c r="L6" s="9" t="s">
        <v>1515</v>
      </c>
      <c r="M6" s="9">
        <v>40.6180127</v>
      </c>
      <c r="N6" s="9">
        <v>14.5164299</v>
      </c>
      <c r="O6" s="29" t="str">
        <f t="shared" si="1"/>
        <v>https://www.google.com/maps/search/Grand%20Hotel%20Tritone%2C%20Praiano%2C%20Italy</v>
      </c>
    </row>
    <row r="7">
      <c r="A7" s="35" t="s">
        <v>1516</v>
      </c>
      <c r="B7" s="26" t="s">
        <v>399</v>
      </c>
      <c r="C7" s="26" t="s">
        <v>133</v>
      </c>
      <c r="D7" s="43" t="s">
        <v>390</v>
      </c>
      <c r="E7" s="26" t="s">
        <v>1517</v>
      </c>
      <c r="F7" s="26" t="s">
        <v>1518</v>
      </c>
      <c r="G7" s="26" t="s">
        <v>1016</v>
      </c>
      <c r="H7" s="26" t="s">
        <v>1519</v>
      </c>
      <c r="I7" s="26" t="s">
        <v>2310</v>
      </c>
      <c r="J7" s="26" t="s">
        <v>2311</v>
      </c>
      <c r="K7" s="9" t="s">
        <v>1520</v>
      </c>
      <c r="L7" s="9" t="s">
        <v>1521</v>
      </c>
      <c r="M7" s="9">
        <v>40.6193464</v>
      </c>
      <c r="N7" s="9">
        <v>14.5150701</v>
      </c>
      <c r="O7" s="29" t="str">
        <f t="shared" si="1"/>
        <v>https://www.google.com/maps/search/Villa%20Orizzonte%2C%20Praiano-Positano%2C%20Italy</v>
      </c>
    </row>
    <row r="8">
      <c r="A8" s="35" t="s">
        <v>1522</v>
      </c>
      <c r="B8" s="26" t="s">
        <v>50</v>
      </c>
      <c r="C8" s="26" t="s">
        <v>1523</v>
      </c>
      <c r="D8" s="43" t="s">
        <v>390</v>
      </c>
      <c r="E8" s="26" t="s">
        <v>1524</v>
      </c>
      <c r="F8" s="26" t="s">
        <v>1525</v>
      </c>
      <c r="G8" s="26" t="s">
        <v>1016</v>
      </c>
      <c r="H8" s="26" t="s">
        <v>1496</v>
      </c>
      <c r="I8" s="26" t="s">
        <v>2308</v>
      </c>
      <c r="J8" s="26" t="s">
        <v>2307</v>
      </c>
      <c r="K8" s="9" t="s">
        <v>1526</v>
      </c>
      <c r="L8" s="9" t="s">
        <v>1527</v>
      </c>
      <c r="M8" s="9">
        <v>40.614735</v>
      </c>
      <c r="N8" s="9">
        <v>14.554373</v>
      </c>
      <c r="O8" s="29" t="str">
        <f t="shared" si="1"/>
        <v>https://www.google.com/maps/search/La%20Conchiglia%2C%20Praiano%2C%20Italy</v>
      </c>
    </row>
    <row r="9">
      <c r="A9" s="35" t="s">
        <v>1528</v>
      </c>
      <c r="B9" s="26" t="s">
        <v>50</v>
      </c>
      <c r="C9" s="26" t="s">
        <v>1529</v>
      </c>
      <c r="D9" s="43" t="s">
        <v>1530</v>
      </c>
      <c r="E9" s="26" t="s">
        <v>1531</v>
      </c>
      <c r="F9" s="26" t="s">
        <v>1532</v>
      </c>
      <c r="G9" s="26" t="s">
        <v>1533</v>
      </c>
      <c r="H9" s="26" t="s">
        <v>1534</v>
      </c>
      <c r="I9" s="26" t="s">
        <v>2312</v>
      </c>
      <c r="J9" s="26" t="s">
        <v>2307</v>
      </c>
      <c r="K9" s="9" t="s">
        <v>994</v>
      </c>
      <c r="L9" s="9" t="s">
        <v>498</v>
      </c>
      <c r="M9" s="9">
        <v>40.6117319</v>
      </c>
      <c r="N9" s="9">
        <v>14.5335099</v>
      </c>
      <c r="O9" s="29" t="str">
        <f t="shared" si="1"/>
        <v>https://www.google.com/maps/search/Casa%20Portapenta%2C%20Praiano%2C%20Italy</v>
      </c>
    </row>
    <row r="10">
      <c r="A10" s="35" t="s">
        <v>1535</v>
      </c>
      <c r="B10" s="26" t="s">
        <v>50</v>
      </c>
      <c r="C10" s="26" t="s">
        <v>246</v>
      </c>
      <c r="D10" s="43" t="s">
        <v>247</v>
      </c>
      <c r="E10" s="26" t="s">
        <v>1536</v>
      </c>
      <c r="F10" s="26" t="s">
        <v>1537</v>
      </c>
      <c r="G10" s="26" t="s">
        <v>1538</v>
      </c>
      <c r="H10" s="26" t="s">
        <v>1539</v>
      </c>
      <c r="I10" s="26" t="s">
        <v>1540</v>
      </c>
      <c r="J10" s="26" t="s">
        <v>2313</v>
      </c>
      <c r="K10" s="9" t="s">
        <v>1540</v>
      </c>
      <c r="L10" s="9" t="s">
        <v>1541</v>
      </c>
      <c r="M10" s="9">
        <v>40.6139227</v>
      </c>
      <c r="N10" s="9">
        <v>14.5213438</v>
      </c>
      <c r="O10" s="29" t="str">
        <f t="shared" si="1"/>
        <v>https://www.google.com/maps/search/Cafe%20Mirante%2C%20Praiano%2C%20Italy</v>
      </c>
    </row>
    <row r="11">
      <c r="A11" s="35" t="s">
        <v>1542</v>
      </c>
      <c r="B11" s="26" t="s">
        <v>50</v>
      </c>
      <c r="C11" s="26" t="s">
        <v>246</v>
      </c>
      <c r="D11" s="43" t="s">
        <v>247</v>
      </c>
      <c r="E11" s="26" t="s">
        <v>1543</v>
      </c>
      <c r="F11" s="26" t="s">
        <v>1544</v>
      </c>
      <c r="G11" s="26" t="s">
        <v>1545</v>
      </c>
      <c r="H11" s="26" t="s">
        <v>1546</v>
      </c>
      <c r="I11" s="26" t="s">
        <v>2308</v>
      </c>
      <c r="J11" s="26" t="s">
        <v>2307</v>
      </c>
      <c r="K11" s="9" t="s">
        <v>1547</v>
      </c>
      <c r="L11" s="9" t="s">
        <v>1548</v>
      </c>
      <c r="M11" s="9">
        <v>40.6117521</v>
      </c>
      <c r="N11" s="9">
        <v>14.5236009</v>
      </c>
      <c r="O11" s="29" t="str">
        <f t="shared" si="1"/>
        <v>https://www.google.com/maps/search/Caf%C3%A9%20Novanta%20Quattro%2C%20Praiano%2C%20Italy</v>
      </c>
    </row>
    <row r="12">
      <c r="A12" s="35" t="s">
        <v>1549</v>
      </c>
      <c r="B12" s="26" t="s">
        <v>50</v>
      </c>
      <c r="C12" s="26" t="s">
        <v>246</v>
      </c>
      <c r="D12" s="43" t="s">
        <v>247</v>
      </c>
      <c r="E12" s="26" t="s">
        <v>1550</v>
      </c>
      <c r="F12" s="26" t="s">
        <v>1551</v>
      </c>
      <c r="G12" s="26" t="s">
        <v>1552</v>
      </c>
      <c r="H12" s="26" t="s">
        <v>1553</v>
      </c>
      <c r="I12" s="26" t="s">
        <v>2314</v>
      </c>
      <c r="J12" s="26" t="s">
        <v>2307</v>
      </c>
      <c r="K12" s="9" t="s">
        <v>1547</v>
      </c>
      <c r="L12" s="9" t="s">
        <v>1548</v>
      </c>
      <c r="M12" s="9">
        <v>40.6117521</v>
      </c>
      <c r="N12" s="9">
        <v>14.5236009</v>
      </c>
      <c r="O12" s="29" t="str">
        <f t="shared" si="1"/>
        <v>https://www.google.com/maps/search/Sibilla%20Cafe%2C%20Praiano%2C%20Italy</v>
      </c>
    </row>
    <row r="13">
      <c r="A13" s="35" t="s">
        <v>1554</v>
      </c>
      <c r="B13" s="26" t="s">
        <v>61</v>
      </c>
      <c r="C13" s="26" t="s">
        <v>246</v>
      </c>
      <c r="D13" s="43" t="s">
        <v>247</v>
      </c>
      <c r="E13" s="26" t="s">
        <v>1555</v>
      </c>
      <c r="F13" s="26" t="s">
        <v>1556</v>
      </c>
      <c r="G13" s="26" t="s">
        <v>1557</v>
      </c>
      <c r="H13" s="26" t="s">
        <v>1558</v>
      </c>
      <c r="I13" s="26" t="s">
        <v>2315</v>
      </c>
      <c r="J13" s="26" t="s">
        <v>2316</v>
      </c>
      <c r="K13" s="9" t="s">
        <v>1559</v>
      </c>
      <c r="L13" s="9" t="s">
        <v>1560</v>
      </c>
      <c r="M13" s="9">
        <v>40.6303441</v>
      </c>
      <c r="N13" s="9">
        <v>14.4846042</v>
      </c>
      <c r="O13" s="29" t="str">
        <f t="shared" si="1"/>
        <v>https://www.google.com/maps/search/Casa%20e%20Bottega%2C%20Positano%2C%20Italy</v>
      </c>
    </row>
    <row r="14">
      <c r="A14" s="35" t="s">
        <v>1561</v>
      </c>
      <c r="B14" s="26" t="s">
        <v>61</v>
      </c>
      <c r="C14" s="26" t="s">
        <v>246</v>
      </c>
      <c r="D14" s="43" t="s">
        <v>247</v>
      </c>
      <c r="E14" s="26" t="s">
        <v>1562</v>
      </c>
      <c r="F14" s="26" t="s">
        <v>1563</v>
      </c>
      <c r="G14" s="26" t="s">
        <v>582</v>
      </c>
      <c r="H14" s="26" t="s">
        <v>1564</v>
      </c>
      <c r="I14" s="26" t="s">
        <v>2317</v>
      </c>
      <c r="J14" s="26" t="s">
        <v>2316</v>
      </c>
      <c r="K14" s="9" t="s">
        <v>1565</v>
      </c>
      <c r="L14" s="9" t="s">
        <v>1566</v>
      </c>
      <c r="M14" s="9">
        <v>40.6284107</v>
      </c>
      <c r="N14" s="9">
        <v>14.4811414</v>
      </c>
      <c r="O14" s="29" t="str">
        <f t="shared" si="1"/>
        <v>https://www.google.com/maps/search/Posides%2C%20Positano%2C%20Italy</v>
      </c>
    </row>
    <row r="15">
      <c r="A15" s="35" t="s">
        <v>1567</v>
      </c>
      <c r="B15" s="26" t="s">
        <v>50</v>
      </c>
      <c r="C15" s="26" t="s">
        <v>1119</v>
      </c>
      <c r="D15" s="43" t="s">
        <v>1568</v>
      </c>
      <c r="E15" s="26" t="s">
        <v>1569</v>
      </c>
      <c r="F15" s="26" t="s">
        <v>1570</v>
      </c>
      <c r="G15" s="26" t="s">
        <v>1571</v>
      </c>
      <c r="H15" s="26" t="s">
        <v>1572</v>
      </c>
      <c r="I15" s="26" t="s">
        <v>1508</v>
      </c>
      <c r="J15" s="26" t="s">
        <v>2307</v>
      </c>
      <c r="K15" s="9" t="s">
        <v>1573</v>
      </c>
      <c r="L15" s="9" t="s">
        <v>1574</v>
      </c>
      <c r="M15" s="9">
        <v>40.6122913</v>
      </c>
      <c r="N15" s="9">
        <v>14.5385018</v>
      </c>
      <c r="O15" s="29" t="str">
        <f t="shared" si="1"/>
        <v>https://www.google.com/maps/search/Ristorante%20Franchino%2C%20Praiano%2C%20Italy</v>
      </c>
    </row>
    <row r="16">
      <c r="A16" s="35" t="s">
        <v>1561</v>
      </c>
      <c r="B16" s="26" t="s">
        <v>61</v>
      </c>
      <c r="C16" s="26" t="s">
        <v>1119</v>
      </c>
      <c r="D16" s="43" t="s">
        <v>1568</v>
      </c>
      <c r="E16" s="26" t="s">
        <v>1575</v>
      </c>
      <c r="F16" s="26" t="s">
        <v>1576</v>
      </c>
      <c r="G16" s="26" t="s">
        <v>714</v>
      </c>
      <c r="H16" s="26" t="s">
        <v>1577</v>
      </c>
      <c r="I16" s="26" t="s">
        <v>2317</v>
      </c>
      <c r="J16" s="26" t="s">
        <v>2316</v>
      </c>
      <c r="K16" s="9" t="s">
        <v>1565</v>
      </c>
      <c r="L16" s="9" t="s">
        <v>1566</v>
      </c>
      <c r="M16" s="9">
        <v>40.6284107</v>
      </c>
      <c r="N16" s="9">
        <v>14.4811414</v>
      </c>
      <c r="O16" s="29" t="str">
        <f t="shared" si="1"/>
        <v>https://www.google.com/maps/search/Posides%2C%20Positano%2C%20Italy</v>
      </c>
    </row>
    <row r="17">
      <c r="A17" s="35" t="s">
        <v>1554</v>
      </c>
      <c r="B17" s="26" t="s">
        <v>61</v>
      </c>
      <c r="C17" s="26" t="s">
        <v>1119</v>
      </c>
      <c r="D17" s="43" t="s">
        <v>1568</v>
      </c>
      <c r="E17" s="26" t="s">
        <v>1578</v>
      </c>
      <c r="F17" s="26" t="s">
        <v>1579</v>
      </c>
      <c r="G17" s="26" t="s">
        <v>1557</v>
      </c>
      <c r="H17" s="26" t="s">
        <v>1564</v>
      </c>
      <c r="I17" s="26" t="s">
        <v>2315</v>
      </c>
      <c r="J17" s="26" t="s">
        <v>2316</v>
      </c>
      <c r="K17" s="9" t="s">
        <v>1559</v>
      </c>
      <c r="L17" s="9" t="s">
        <v>1560</v>
      </c>
      <c r="M17" s="9">
        <v>40.6303441</v>
      </c>
      <c r="N17" s="9">
        <v>14.4846042</v>
      </c>
      <c r="O17" s="29" t="str">
        <f t="shared" si="1"/>
        <v>https://www.google.com/maps/search/Casa%20e%20Bottega%2C%20Positano%2C%20Italy</v>
      </c>
    </row>
    <row r="18">
      <c r="A18" s="35" t="s">
        <v>1580</v>
      </c>
      <c r="B18" s="26" t="s">
        <v>61</v>
      </c>
      <c r="C18" s="26" t="s">
        <v>1119</v>
      </c>
      <c r="D18" s="43" t="s">
        <v>1568</v>
      </c>
      <c r="E18" s="26" t="s">
        <v>1581</v>
      </c>
      <c r="F18" s="26" t="s">
        <v>1582</v>
      </c>
      <c r="G18" s="26" t="s">
        <v>1583</v>
      </c>
      <c r="H18" s="26" t="s">
        <v>1539</v>
      </c>
      <c r="I18" s="26" t="s">
        <v>2317</v>
      </c>
      <c r="J18" s="26" t="s">
        <v>2316</v>
      </c>
      <c r="K18" s="9" t="s">
        <v>1584</v>
      </c>
      <c r="L18" s="9" t="s">
        <v>1585</v>
      </c>
      <c r="M18" s="9">
        <v>40.6301419</v>
      </c>
      <c r="N18" s="9">
        <v>14.4859101</v>
      </c>
      <c r="O18" s="29" t="str">
        <f t="shared" si="1"/>
        <v>https://www.google.com/maps/search/Collina%20Positano%20Bakery%2C%20Positano%2C%20Italy</v>
      </c>
    </row>
    <row r="19">
      <c r="A19" s="35" t="s">
        <v>1586</v>
      </c>
      <c r="B19" s="26" t="s">
        <v>365</v>
      </c>
      <c r="C19" s="26" t="s">
        <v>1119</v>
      </c>
      <c r="D19" s="43" t="s">
        <v>1568</v>
      </c>
      <c r="E19" s="26" t="s">
        <v>1587</v>
      </c>
      <c r="F19" s="26" t="s">
        <v>1588</v>
      </c>
      <c r="G19" s="26" t="s">
        <v>660</v>
      </c>
      <c r="H19" s="26" t="s">
        <v>1558</v>
      </c>
      <c r="I19" s="26" t="s">
        <v>2318</v>
      </c>
      <c r="J19" s="26" t="s">
        <v>2319</v>
      </c>
      <c r="K19" s="9" t="s">
        <v>1589</v>
      </c>
      <c r="L19" s="9" t="s">
        <v>1590</v>
      </c>
      <c r="M19" s="9">
        <v>40.634426</v>
      </c>
      <c r="N19" s="9">
        <v>14.6023791</v>
      </c>
      <c r="O19" s="29" t="str">
        <f t="shared" si="1"/>
        <v>https://www.google.com/maps/search/Cioccolato%20Andrea%20Pansa%2C%20Amalfi%2C%20Italy</v>
      </c>
    </row>
    <row r="20">
      <c r="A20" s="35" t="s">
        <v>1591</v>
      </c>
      <c r="B20" s="26" t="s">
        <v>61</v>
      </c>
      <c r="C20" s="26" t="s">
        <v>1072</v>
      </c>
      <c r="D20" s="43" t="s">
        <v>1096</v>
      </c>
      <c r="E20" s="26" t="s">
        <v>1592</v>
      </c>
      <c r="F20" s="26" t="s">
        <v>1593</v>
      </c>
      <c r="G20" s="26" t="s">
        <v>1594</v>
      </c>
      <c r="H20" s="26" t="s">
        <v>1595</v>
      </c>
      <c r="I20" s="26" t="s">
        <v>1596</v>
      </c>
      <c r="J20" s="26" t="s">
        <v>2316</v>
      </c>
      <c r="K20" s="9" t="s">
        <v>1596</v>
      </c>
      <c r="L20" s="9" t="s">
        <v>1597</v>
      </c>
      <c r="M20" s="9">
        <v>40.6288339</v>
      </c>
      <c r="N20" s="9">
        <v>14.4875825</v>
      </c>
      <c r="O20" s="29" t="str">
        <f t="shared" si="1"/>
        <v>https://www.google.com/maps/search/Franco%27s%20Bar%2C%20Positano%2C%20Italy</v>
      </c>
    </row>
    <row r="21">
      <c r="A21" s="35" t="s">
        <v>1598</v>
      </c>
      <c r="B21" s="26" t="s">
        <v>61</v>
      </c>
      <c r="C21" s="26" t="s">
        <v>1072</v>
      </c>
      <c r="D21" s="43" t="s">
        <v>280</v>
      </c>
      <c r="E21" s="26" t="s">
        <v>1599</v>
      </c>
      <c r="F21" s="26" t="s">
        <v>1600</v>
      </c>
      <c r="G21" s="26" t="s">
        <v>1601</v>
      </c>
      <c r="H21" s="26" t="s">
        <v>295</v>
      </c>
      <c r="I21" s="26" t="s">
        <v>1596</v>
      </c>
      <c r="J21" s="26" t="s">
        <v>2316</v>
      </c>
      <c r="K21" s="9" t="s">
        <v>1596</v>
      </c>
      <c r="L21" s="9" t="s">
        <v>1597</v>
      </c>
      <c r="M21" s="9">
        <v>40.6288339</v>
      </c>
      <c r="N21" s="9">
        <v>14.4875825</v>
      </c>
      <c r="O21" s="29" t="str">
        <f t="shared" si="1"/>
        <v>https://www.google.com/maps/search/Champagne%20Bar%20at%20Le%20Sirenuse%2C%20Positano%2C%20Italy</v>
      </c>
    </row>
    <row r="22">
      <c r="A22" s="35" t="s">
        <v>1602</v>
      </c>
      <c r="B22" s="26" t="s">
        <v>61</v>
      </c>
      <c r="C22" s="26" t="s">
        <v>1072</v>
      </c>
      <c r="D22" s="43" t="s">
        <v>1096</v>
      </c>
      <c r="E22" s="26" t="s">
        <v>1603</v>
      </c>
      <c r="F22" s="26" t="s">
        <v>1604</v>
      </c>
      <c r="G22" s="26" t="s">
        <v>1605</v>
      </c>
      <c r="H22" s="26" t="s">
        <v>313</v>
      </c>
      <c r="I22" s="26" t="s">
        <v>2317</v>
      </c>
      <c r="J22" s="26" t="s">
        <v>2316</v>
      </c>
      <c r="K22" s="9" t="s">
        <v>1606</v>
      </c>
      <c r="L22" s="9" t="s">
        <v>1607</v>
      </c>
      <c r="M22" s="9">
        <v>40.6281116</v>
      </c>
      <c r="N22" s="9">
        <v>14.4846931</v>
      </c>
      <c r="O22" s="29" t="str">
        <f t="shared" si="1"/>
        <v>https://www.google.com/maps/search/La%20Giara%20Roof%20Top%20Bar%2C%20Positano%2C%20Italy</v>
      </c>
    </row>
    <row r="23">
      <c r="A23" s="35" t="s">
        <v>1608</v>
      </c>
      <c r="B23" s="26" t="s">
        <v>50</v>
      </c>
      <c r="C23" s="26" t="s">
        <v>1104</v>
      </c>
      <c r="D23" s="43" t="s">
        <v>270</v>
      </c>
      <c r="E23" s="26" t="s">
        <v>1609</v>
      </c>
      <c r="F23" s="26" t="s">
        <v>1610</v>
      </c>
      <c r="G23" s="26" t="s">
        <v>1611</v>
      </c>
      <c r="H23" s="26" t="s">
        <v>356</v>
      </c>
      <c r="I23" s="26" t="s">
        <v>2309</v>
      </c>
      <c r="J23" s="26" t="s">
        <v>2307</v>
      </c>
      <c r="K23" s="9" t="s">
        <v>994</v>
      </c>
      <c r="L23" s="9" t="s">
        <v>498</v>
      </c>
      <c r="M23" s="9">
        <v>40.6117319</v>
      </c>
      <c r="N23" s="9">
        <v>14.5335099</v>
      </c>
      <c r="O23" s="29" t="str">
        <f t="shared" si="1"/>
        <v>https://www.google.com/maps/search/Marrakech%20Bar%20at%20Casa%20Angelina%2C%20Praiano%2C%20Italy</v>
      </c>
    </row>
    <row r="24">
      <c r="A24" s="35" t="s">
        <v>1612</v>
      </c>
      <c r="B24" s="26" t="s">
        <v>50</v>
      </c>
      <c r="C24" s="26" t="s">
        <v>1104</v>
      </c>
      <c r="D24" s="43" t="s">
        <v>270</v>
      </c>
      <c r="E24" s="26" t="s">
        <v>1613</v>
      </c>
      <c r="F24" s="26" t="s">
        <v>1614</v>
      </c>
      <c r="G24" s="26" t="s">
        <v>1615</v>
      </c>
      <c r="H24" s="26" t="s">
        <v>1616</v>
      </c>
      <c r="I24" s="26" t="s">
        <v>2308</v>
      </c>
      <c r="J24" s="26" t="s">
        <v>2307</v>
      </c>
      <c r="K24" s="9" t="s">
        <v>1617</v>
      </c>
      <c r="L24" s="9" t="s">
        <v>1618</v>
      </c>
      <c r="M24" s="9">
        <v>40.6134828</v>
      </c>
      <c r="N24" s="9">
        <v>14.522514</v>
      </c>
      <c r="O24" s="29" t="str">
        <f t="shared" si="1"/>
        <v>https://www.google.com/maps/search/Vivaro%20Wine%20Bar%2C%20Praiano%2C%20Italy</v>
      </c>
    </row>
    <row r="25">
      <c r="A25" s="35" t="s">
        <v>1619</v>
      </c>
      <c r="B25" s="26" t="s">
        <v>61</v>
      </c>
      <c r="C25" s="26" t="s">
        <v>1104</v>
      </c>
      <c r="D25" s="43" t="s">
        <v>270</v>
      </c>
      <c r="E25" s="26" t="s">
        <v>1620</v>
      </c>
      <c r="F25" s="26" t="s">
        <v>1621</v>
      </c>
      <c r="G25" s="26" t="s">
        <v>1571</v>
      </c>
      <c r="H25" s="26" t="s">
        <v>1622</v>
      </c>
      <c r="I25" s="26" t="s">
        <v>1623</v>
      </c>
      <c r="J25" s="26" t="s">
        <v>2316</v>
      </c>
      <c r="K25" s="9" t="s">
        <v>1623</v>
      </c>
      <c r="L25" s="9" t="s">
        <v>1624</v>
      </c>
      <c r="M25" s="9">
        <v>40.6283389</v>
      </c>
      <c r="N25" s="9">
        <v>14.4889435</v>
      </c>
      <c r="O25" s="29" t="str">
        <f t="shared" si="1"/>
        <v>https://www.google.com/maps/search/Ristorante%20Bruno%2C%20Positano%2C%20Italy</v>
      </c>
    </row>
    <row r="26">
      <c r="A26" s="35" t="s">
        <v>1625</v>
      </c>
      <c r="B26" s="26" t="s">
        <v>61</v>
      </c>
      <c r="C26" s="26" t="s">
        <v>1104</v>
      </c>
      <c r="D26" s="43" t="s">
        <v>270</v>
      </c>
      <c r="E26" s="26" t="s">
        <v>1626</v>
      </c>
      <c r="F26" s="26" t="s">
        <v>1627</v>
      </c>
      <c r="G26" s="26" t="s">
        <v>1628</v>
      </c>
      <c r="H26" s="26" t="s">
        <v>1629</v>
      </c>
      <c r="I26" s="26" t="s">
        <v>1630</v>
      </c>
      <c r="J26" s="26" t="s">
        <v>2316</v>
      </c>
      <c r="K26" s="9" t="s">
        <v>1630</v>
      </c>
      <c r="L26" s="9" t="s">
        <v>1631</v>
      </c>
      <c r="M26" s="9">
        <v>40.6279487</v>
      </c>
      <c r="N26" s="9">
        <v>14.4863463</v>
      </c>
      <c r="O26" s="29" t="str">
        <f t="shared" si="1"/>
        <v>https://www.google.com/maps/search/Hotel%20Covo%20Dei%20Saraceni%2C%20Positano%2C%20Italy</v>
      </c>
    </row>
    <row r="27">
      <c r="A27" s="35" t="s">
        <v>1632</v>
      </c>
      <c r="B27" s="26" t="s">
        <v>50</v>
      </c>
      <c r="C27" s="26" t="s">
        <v>345</v>
      </c>
      <c r="D27" s="43" t="s">
        <v>291</v>
      </c>
      <c r="E27" s="26" t="s">
        <v>1633</v>
      </c>
      <c r="F27" s="26" t="s">
        <v>1634</v>
      </c>
      <c r="G27" s="26" t="s">
        <v>1571</v>
      </c>
      <c r="H27" s="26" t="s">
        <v>356</v>
      </c>
      <c r="I27" s="26" t="s">
        <v>2308</v>
      </c>
      <c r="J27" s="26" t="s">
        <v>2307</v>
      </c>
      <c r="K27" s="9" t="s">
        <v>1635</v>
      </c>
      <c r="L27" s="9" t="s">
        <v>1636</v>
      </c>
      <c r="M27" s="9">
        <v>40.6120732</v>
      </c>
      <c r="N27" s="9">
        <v>14.5379298</v>
      </c>
      <c r="O27" s="29" t="str">
        <f t="shared" si="1"/>
        <v>https://www.google.com/maps/search/Il%20Pirata%20Ristorante%2C%20Praiano%2C%20Italy</v>
      </c>
    </row>
    <row r="28">
      <c r="A28" s="35" t="s">
        <v>1637</v>
      </c>
      <c r="B28" s="26" t="s">
        <v>50</v>
      </c>
      <c r="C28" s="26" t="s">
        <v>345</v>
      </c>
      <c r="D28" s="43" t="s">
        <v>291</v>
      </c>
      <c r="E28" s="26" t="s">
        <v>1638</v>
      </c>
      <c r="F28" s="26" t="s">
        <v>1639</v>
      </c>
      <c r="G28" s="26" t="s">
        <v>1452</v>
      </c>
      <c r="H28" s="26" t="s">
        <v>1629</v>
      </c>
      <c r="I28" s="26" t="s">
        <v>2308</v>
      </c>
      <c r="J28" s="26" t="s">
        <v>2307</v>
      </c>
      <c r="K28" s="9" t="s">
        <v>1640</v>
      </c>
      <c r="L28" s="9" t="s">
        <v>1641</v>
      </c>
      <c r="M28" s="9">
        <v>40.6141569</v>
      </c>
      <c r="N28" s="9">
        <v>14.5224937</v>
      </c>
      <c r="O28" s="29" t="str">
        <f t="shared" si="1"/>
        <v>https://www.google.com/maps/search/La%20Strada%2C%20Praiano%2C%20Italy</v>
      </c>
    </row>
    <row r="29">
      <c r="A29" s="35" t="s">
        <v>1642</v>
      </c>
      <c r="B29" s="26" t="s">
        <v>50</v>
      </c>
      <c r="C29" s="26" t="s">
        <v>345</v>
      </c>
      <c r="D29" s="43" t="s">
        <v>291</v>
      </c>
      <c r="E29" s="26" t="s">
        <v>1643</v>
      </c>
      <c r="F29" s="26" t="s">
        <v>1644</v>
      </c>
      <c r="G29" s="26" t="s">
        <v>1452</v>
      </c>
      <c r="H29" s="26" t="s">
        <v>1645</v>
      </c>
      <c r="I29" s="26" t="s">
        <v>2308</v>
      </c>
      <c r="J29" s="26" t="s">
        <v>2307</v>
      </c>
      <c r="K29" s="9" t="s">
        <v>1646</v>
      </c>
      <c r="L29" s="9" t="s">
        <v>1647</v>
      </c>
      <c r="M29" s="9">
        <v>40.65141</v>
      </c>
      <c r="N29" s="9">
        <v>14.6972333</v>
      </c>
      <c r="O29" s="29" t="str">
        <f t="shared" si="1"/>
        <v>https://www.google.com/maps/search/La%20Moressa%20Italian%20Bistr%C3%B2%2C%20Praiano%2C%20Italy</v>
      </c>
    </row>
    <row r="30">
      <c r="A30" s="35" t="s">
        <v>1648</v>
      </c>
      <c r="B30" s="26" t="s">
        <v>61</v>
      </c>
      <c r="C30" s="26" t="s">
        <v>345</v>
      </c>
      <c r="D30" s="43" t="s">
        <v>291</v>
      </c>
      <c r="E30" s="26" t="s">
        <v>1649</v>
      </c>
      <c r="F30" s="26" t="s">
        <v>1650</v>
      </c>
      <c r="G30" s="26" t="s">
        <v>1452</v>
      </c>
      <c r="H30" s="26" t="s">
        <v>1651</v>
      </c>
      <c r="I30" s="26" t="s">
        <v>2317</v>
      </c>
      <c r="J30" s="26" t="s">
        <v>2316</v>
      </c>
      <c r="K30" s="9" t="s">
        <v>855</v>
      </c>
      <c r="L30" s="9" t="s">
        <v>856</v>
      </c>
      <c r="M30" s="9">
        <v>40.6263545</v>
      </c>
      <c r="N30" s="9">
        <v>14.4822477</v>
      </c>
      <c r="O30" s="29" t="str">
        <f t="shared" si="1"/>
        <v>https://www.google.com/maps/search/Da%20Ferdinando%2C%20Positano%2C%20Italy</v>
      </c>
    </row>
    <row r="31">
      <c r="A31" s="35" t="s">
        <v>1652</v>
      </c>
      <c r="B31" s="26" t="s">
        <v>61</v>
      </c>
      <c r="C31" s="26" t="s">
        <v>302</v>
      </c>
      <c r="D31" s="43" t="s">
        <v>291</v>
      </c>
      <c r="E31" s="26" t="s">
        <v>1653</v>
      </c>
      <c r="F31" s="26" t="s">
        <v>1654</v>
      </c>
      <c r="G31" s="26" t="s">
        <v>321</v>
      </c>
      <c r="H31" s="26" t="s">
        <v>295</v>
      </c>
      <c r="I31" s="26" t="s">
        <v>1655</v>
      </c>
      <c r="J31" s="26" t="s">
        <v>2316</v>
      </c>
      <c r="K31" s="9" t="s">
        <v>1655</v>
      </c>
      <c r="L31" s="9" t="s">
        <v>1656</v>
      </c>
      <c r="M31" s="9">
        <v>40.6280498</v>
      </c>
      <c r="N31" s="9">
        <v>14.4869969</v>
      </c>
      <c r="O31" s="29" t="str">
        <f t="shared" si="1"/>
        <v>https://www.google.com/maps/search/Chez%20Black%2C%20Positano%2C%20Italy</v>
      </c>
    </row>
    <row r="32">
      <c r="A32" s="35" t="s">
        <v>1567</v>
      </c>
      <c r="B32" s="26" t="s">
        <v>50</v>
      </c>
      <c r="C32" s="26" t="s">
        <v>302</v>
      </c>
      <c r="D32" s="43" t="s">
        <v>291</v>
      </c>
      <c r="E32" s="26" t="s">
        <v>1657</v>
      </c>
      <c r="F32" s="26" t="s">
        <v>1658</v>
      </c>
      <c r="G32" s="26" t="s">
        <v>369</v>
      </c>
      <c r="H32" s="26" t="s">
        <v>362</v>
      </c>
      <c r="I32" s="26" t="s">
        <v>1508</v>
      </c>
      <c r="J32" s="26" t="s">
        <v>2307</v>
      </c>
      <c r="K32" s="9" t="s">
        <v>1573</v>
      </c>
      <c r="L32" s="9" t="s">
        <v>1574</v>
      </c>
      <c r="M32" s="9">
        <v>40.6122913</v>
      </c>
      <c r="N32" s="9">
        <v>14.5385018</v>
      </c>
      <c r="O32" s="29" t="str">
        <f t="shared" si="1"/>
        <v>https://www.google.com/maps/search/Ristorante%20Franchino%2C%20Praiano%2C%20Italy</v>
      </c>
    </row>
    <row r="33">
      <c r="A33" s="35" t="s">
        <v>1642</v>
      </c>
      <c r="B33" s="26" t="s">
        <v>50</v>
      </c>
      <c r="C33" s="26" t="s">
        <v>302</v>
      </c>
      <c r="D33" s="43" t="s">
        <v>291</v>
      </c>
      <c r="E33" s="26" t="s">
        <v>1659</v>
      </c>
      <c r="F33" s="26" t="s">
        <v>1660</v>
      </c>
      <c r="G33" s="26" t="s">
        <v>369</v>
      </c>
      <c r="H33" s="26" t="s">
        <v>349</v>
      </c>
      <c r="I33" s="26" t="s">
        <v>2308</v>
      </c>
      <c r="J33" s="26" t="s">
        <v>2307</v>
      </c>
      <c r="K33" s="9" t="s">
        <v>1646</v>
      </c>
      <c r="L33" s="9" t="s">
        <v>1647</v>
      </c>
      <c r="M33" s="9">
        <v>40.65141</v>
      </c>
      <c r="N33" s="9">
        <v>14.6972333</v>
      </c>
      <c r="O33" s="29" t="str">
        <f t="shared" si="1"/>
        <v>https://www.google.com/maps/search/La%20Moressa%20Italian%20Bistr%C3%B2%2C%20Praiano%2C%20Italy</v>
      </c>
    </row>
    <row r="34">
      <c r="A34" s="35" t="s">
        <v>1661</v>
      </c>
      <c r="B34" s="26" t="s">
        <v>50</v>
      </c>
      <c r="C34" s="26" t="s">
        <v>440</v>
      </c>
      <c r="D34" s="43" t="s">
        <v>785</v>
      </c>
      <c r="E34" s="26" t="s">
        <v>1662</v>
      </c>
      <c r="F34" s="26" t="s">
        <v>1663</v>
      </c>
      <c r="G34" s="26" t="s">
        <v>1484</v>
      </c>
      <c r="H34" s="26" t="s">
        <v>322</v>
      </c>
      <c r="I34" s="26" t="s">
        <v>2320</v>
      </c>
      <c r="J34" s="26" t="s">
        <v>2313</v>
      </c>
      <c r="K34" s="9" t="s">
        <v>1664</v>
      </c>
      <c r="L34" s="9" t="s">
        <v>1665</v>
      </c>
      <c r="M34" s="9">
        <v>40.6132028</v>
      </c>
      <c r="N34" s="9">
        <v>14.521447</v>
      </c>
      <c r="O34" s="29" t="str">
        <f t="shared" si="1"/>
        <v>https://www.google.com/maps/search/La%20Gavitella%20Beach%20Club%2C%20Praiano%2C%20Italy</v>
      </c>
    </row>
    <row r="35">
      <c r="A35" s="35" t="s">
        <v>1666</v>
      </c>
      <c r="B35" s="26" t="s">
        <v>50</v>
      </c>
      <c r="C35" s="26" t="s">
        <v>440</v>
      </c>
      <c r="D35" s="43" t="s">
        <v>785</v>
      </c>
      <c r="E35" s="26" t="s">
        <v>1667</v>
      </c>
      <c r="F35" s="26" t="s">
        <v>1668</v>
      </c>
      <c r="G35" s="26" t="s">
        <v>1484</v>
      </c>
      <c r="H35" s="26" t="s">
        <v>295</v>
      </c>
      <c r="I35" s="26" t="s">
        <v>2321</v>
      </c>
      <c r="J35" s="26" t="s">
        <v>2313</v>
      </c>
      <c r="K35" s="9" t="s">
        <v>1664</v>
      </c>
      <c r="L35" s="9" t="s">
        <v>1665</v>
      </c>
      <c r="M35" s="9">
        <v>40.6132028</v>
      </c>
      <c r="N35" s="9">
        <v>14.521447</v>
      </c>
      <c r="O35" s="29" t="str">
        <f t="shared" si="1"/>
        <v>https://www.google.com/maps/search/One%20Fire%20Beach%20Club%2C%20Praiano%2C%20Italy</v>
      </c>
    </row>
    <row r="36">
      <c r="A36" s="35" t="s">
        <v>1669</v>
      </c>
      <c r="B36" s="26" t="s">
        <v>61</v>
      </c>
      <c r="C36" s="26" t="s">
        <v>440</v>
      </c>
      <c r="D36" s="43" t="s">
        <v>785</v>
      </c>
      <c r="E36" s="26" t="s">
        <v>1670</v>
      </c>
      <c r="F36" s="26" t="s">
        <v>1671</v>
      </c>
      <c r="G36" s="26" t="s">
        <v>582</v>
      </c>
      <c r="H36" s="26" t="s">
        <v>1672</v>
      </c>
      <c r="I36" s="26" t="s">
        <v>2322</v>
      </c>
      <c r="J36" s="26" t="s">
        <v>2316</v>
      </c>
      <c r="K36" s="9" t="s">
        <v>1673</v>
      </c>
      <c r="L36" s="9" t="s">
        <v>1674</v>
      </c>
      <c r="M36" s="9">
        <v>40.6278258</v>
      </c>
      <c r="N36" s="9">
        <v>14.4884655</v>
      </c>
      <c r="O36" s="29" t="str">
        <f t="shared" si="1"/>
        <v>https://www.google.com/maps/search/Lido%20L%27Incanto%2C%20Positano%2C%20Italy</v>
      </c>
    </row>
    <row r="37">
      <c r="A37" s="35" t="s">
        <v>972</v>
      </c>
      <c r="B37" s="26" t="s">
        <v>61</v>
      </c>
      <c r="C37" s="26" t="s">
        <v>440</v>
      </c>
      <c r="D37" s="43" t="s">
        <v>785</v>
      </c>
      <c r="E37" s="26" t="s">
        <v>1675</v>
      </c>
      <c r="F37" s="26" t="s">
        <v>1676</v>
      </c>
      <c r="G37" s="26" t="s">
        <v>766</v>
      </c>
      <c r="H37" s="26" t="s">
        <v>1677</v>
      </c>
      <c r="I37" s="26" t="s">
        <v>2323</v>
      </c>
      <c r="J37" s="26" t="s">
        <v>2324</v>
      </c>
      <c r="K37" s="9" t="s">
        <v>975</v>
      </c>
      <c r="L37" s="9" t="s">
        <v>976</v>
      </c>
      <c r="M37" s="9">
        <v>40.6247046</v>
      </c>
      <c r="N37" s="9">
        <v>14.500676</v>
      </c>
      <c r="O37" s="29" t="str">
        <f t="shared" si="1"/>
        <v>https://www.google.com/maps/search/Arienzo%20Beach%20Club%2C%20Positano%2C%20Italy</v>
      </c>
    </row>
    <row r="38">
      <c r="A38" s="35" t="s">
        <v>1678</v>
      </c>
      <c r="B38" s="26" t="s">
        <v>50</v>
      </c>
      <c r="C38" s="26" t="s">
        <v>440</v>
      </c>
      <c r="D38" s="43" t="s">
        <v>785</v>
      </c>
      <c r="E38" s="26" t="s">
        <v>1679</v>
      </c>
      <c r="F38" s="26" t="s">
        <v>1680</v>
      </c>
      <c r="G38" s="26" t="s">
        <v>582</v>
      </c>
      <c r="H38" s="26" t="s">
        <v>1595</v>
      </c>
      <c r="I38" s="26" t="s">
        <v>2325</v>
      </c>
      <c r="J38" s="26" t="s">
        <v>2326</v>
      </c>
      <c r="K38" s="9" t="s">
        <v>979</v>
      </c>
      <c r="L38" s="9" t="s">
        <v>510</v>
      </c>
      <c r="M38" s="9">
        <v>40.6134729</v>
      </c>
      <c r="N38" s="9">
        <v>14.5394424</v>
      </c>
      <c r="O38" s="29" t="str">
        <f t="shared" si="1"/>
        <v>https://www.google.com/maps/search/Marina%20di%20Praia%20Beach%2C%20Praiano%2C%20Italy</v>
      </c>
    </row>
    <row r="39">
      <c r="A39" s="35" t="s">
        <v>1681</v>
      </c>
      <c r="B39" s="26" t="s">
        <v>50</v>
      </c>
      <c r="C39" s="26" t="s">
        <v>876</v>
      </c>
      <c r="D39" s="43" t="s">
        <v>727</v>
      </c>
      <c r="E39" s="26" t="s">
        <v>1682</v>
      </c>
      <c r="F39" s="26" t="s">
        <v>1683</v>
      </c>
      <c r="G39" s="26" t="s">
        <v>1684</v>
      </c>
      <c r="H39" s="26" t="s">
        <v>1139</v>
      </c>
      <c r="I39" s="26" t="s">
        <v>2327</v>
      </c>
      <c r="J39" s="26" t="s">
        <v>2307</v>
      </c>
      <c r="K39" s="9" t="s">
        <v>1685</v>
      </c>
      <c r="L39" s="9" t="s">
        <v>1686</v>
      </c>
      <c r="M39" s="9">
        <v>40.6122233</v>
      </c>
      <c r="N39" s="9">
        <v>14.5292426</v>
      </c>
      <c r="O39" s="29" t="str">
        <f t="shared" si="1"/>
        <v>https://www.google.com/maps/search/Path%20of%20the%20Gods%20Trailhead%2C%20Praiano%2C%20Italy</v>
      </c>
    </row>
    <row r="40">
      <c r="A40" s="35" t="s">
        <v>1687</v>
      </c>
      <c r="B40" s="26" t="s">
        <v>335</v>
      </c>
      <c r="C40" s="26" t="s">
        <v>469</v>
      </c>
      <c r="D40" s="43" t="s">
        <v>1688</v>
      </c>
      <c r="E40" s="26" t="s">
        <v>1689</v>
      </c>
      <c r="F40" s="26" t="s">
        <v>1690</v>
      </c>
      <c r="G40" s="26" t="s">
        <v>1691</v>
      </c>
      <c r="H40" s="26" t="s">
        <v>1692</v>
      </c>
      <c r="I40" s="26" t="s">
        <v>2328</v>
      </c>
      <c r="J40" s="26" t="s">
        <v>2329</v>
      </c>
      <c r="K40" s="9" t="s">
        <v>1693</v>
      </c>
      <c r="L40" s="9" t="s">
        <v>1694</v>
      </c>
      <c r="M40" s="9">
        <v>40.6166038</v>
      </c>
      <c r="N40" s="9">
        <v>14.5752597</v>
      </c>
      <c r="O40" s="29" t="str">
        <f t="shared" si="1"/>
        <v>https://www.google.com/maps/search/Grotta%20dello%20Smeraldo%2C%20Conca%20dei%20Marini%2C%20Italy</v>
      </c>
    </row>
    <row r="41">
      <c r="A41" s="35" t="s">
        <v>1695</v>
      </c>
      <c r="B41" s="26" t="s">
        <v>50</v>
      </c>
      <c r="C41" s="26" t="s">
        <v>1696</v>
      </c>
      <c r="D41" s="43" t="s">
        <v>571</v>
      </c>
      <c r="E41" s="26" t="s">
        <v>1697</v>
      </c>
      <c r="F41" s="26" t="s">
        <v>1698</v>
      </c>
      <c r="G41" s="26" t="s">
        <v>1557</v>
      </c>
      <c r="H41" s="26" t="s">
        <v>1139</v>
      </c>
      <c r="I41" s="26" t="s">
        <v>2330</v>
      </c>
      <c r="J41" s="26" t="s">
        <v>2307</v>
      </c>
      <c r="K41" s="9" t="s">
        <v>1699</v>
      </c>
      <c r="L41" s="9" t="s">
        <v>1700</v>
      </c>
      <c r="M41" s="9">
        <v>40.6110807</v>
      </c>
      <c r="N41" s="9">
        <v>14.5303098</v>
      </c>
      <c r="O41" s="29" t="str">
        <f t="shared" si="1"/>
        <v>https://www.google.com/maps/search/Church%20of%20San%20Luca%20Evangelista%2C%20Praiano%2C%20Italy</v>
      </c>
    </row>
    <row r="42">
      <c r="A42" s="35" t="s">
        <v>1701</v>
      </c>
      <c r="B42" s="26" t="s">
        <v>50</v>
      </c>
      <c r="C42" s="26" t="s">
        <v>1696</v>
      </c>
      <c r="D42" s="43" t="s">
        <v>571</v>
      </c>
      <c r="E42" s="26" t="s">
        <v>1702</v>
      </c>
      <c r="F42" s="26" t="s">
        <v>1703</v>
      </c>
      <c r="G42" s="26" t="s">
        <v>1684</v>
      </c>
      <c r="H42" s="26" t="s">
        <v>1139</v>
      </c>
      <c r="I42" s="26" t="s">
        <v>2331</v>
      </c>
      <c r="J42" s="26" t="s">
        <v>2332</v>
      </c>
      <c r="K42" s="9" t="s">
        <v>1704</v>
      </c>
      <c r="L42" s="9" t="s">
        <v>1705</v>
      </c>
      <c r="M42" s="9">
        <v>40.6168807</v>
      </c>
      <c r="N42" s="9">
        <v>14.5202837</v>
      </c>
      <c r="O42" s="29" t="str">
        <f t="shared" si="1"/>
        <v>https://www.google.com/maps/search/Convent%20of%20San%20Domenico%2C%20Praiano%2C%20Italy</v>
      </c>
    </row>
    <row r="43">
      <c r="A43" s="35" t="s">
        <v>1706</v>
      </c>
      <c r="B43" s="26" t="s">
        <v>365</v>
      </c>
      <c r="C43" s="26" t="s">
        <v>1696</v>
      </c>
      <c r="D43" s="43" t="s">
        <v>571</v>
      </c>
      <c r="E43" s="26" t="s">
        <v>1707</v>
      </c>
      <c r="F43" s="26" t="s">
        <v>1708</v>
      </c>
      <c r="G43" s="26" t="s">
        <v>582</v>
      </c>
      <c r="H43" s="26" t="s">
        <v>1709</v>
      </c>
      <c r="I43" s="26" t="s">
        <v>2333</v>
      </c>
      <c r="J43" s="26" t="s">
        <v>2319</v>
      </c>
      <c r="K43" s="9" t="s">
        <v>1710</v>
      </c>
      <c r="L43" s="9" t="s">
        <v>1711</v>
      </c>
      <c r="M43" s="9">
        <v>40.6344154</v>
      </c>
      <c r="N43" s="9">
        <v>14.6026131</v>
      </c>
      <c r="O43" s="29" t="str">
        <f t="shared" si="1"/>
        <v>https://www.google.com/maps/search/Amalfi%20Cathedral%2C%20Amalfi%2C%20Italy</v>
      </c>
    </row>
    <row r="44">
      <c r="A44" s="35" t="s">
        <v>1712</v>
      </c>
      <c r="B44" s="26" t="s">
        <v>61</v>
      </c>
      <c r="C44" s="26" t="s">
        <v>1696</v>
      </c>
      <c r="D44" s="43" t="s">
        <v>571</v>
      </c>
      <c r="E44" s="26" t="s">
        <v>1713</v>
      </c>
      <c r="F44" s="26" t="s">
        <v>1714</v>
      </c>
      <c r="G44" s="26" t="s">
        <v>1715</v>
      </c>
      <c r="H44" s="26" t="s">
        <v>1139</v>
      </c>
      <c r="I44" s="26" t="s">
        <v>2334</v>
      </c>
      <c r="J44" s="26" t="s">
        <v>2316</v>
      </c>
      <c r="K44" s="9" t="s">
        <v>840</v>
      </c>
      <c r="L44" s="9" t="s">
        <v>841</v>
      </c>
      <c r="M44" s="9">
        <v>40.6283686</v>
      </c>
      <c r="N44" s="9">
        <v>14.4865314</v>
      </c>
      <c r="O44" s="29" t="str">
        <f t="shared" si="1"/>
        <v>https://www.google.com/maps/search/Church%20of%20Santa%20Maria%20Assunta%2C%20Positano%2C%20Italy</v>
      </c>
    </row>
  </sheetData>
  <drawing r:id="rId1"/>
</worksheet>
</file>